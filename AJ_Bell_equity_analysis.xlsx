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atja\Downloads\"/>
    </mc:Choice>
  </mc:AlternateContent>
  <xr:revisionPtr revIDLastSave="0" documentId="13_ncr:1_{9E045A31-56D4-4662-AC28-F64BB1413E6C}" xr6:coauthVersionLast="47" xr6:coauthVersionMax="47" xr10:uidLastSave="{00000000-0000-0000-0000-000000000000}"/>
  <bookViews>
    <workbookView xWindow="14400" yWindow="0" windowWidth="14400" windowHeight="15600" tabRatio="500" firstSheet="1" activeTab="1" xr2:uid="{00000000-000D-0000-FFFF-FFFF00000000}"/>
  </bookViews>
  <sheets>
    <sheet name="Cover" sheetId="1" r:id="rId1"/>
    <sheet name="Assumptions" sheetId="2" r:id="rId2"/>
    <sheet name="Historicals" sheetId="3" r:id="rId3"/>
    <sheet name="Comps Table" sheetId="8" r:id="rId4"/>
    <sheet name="DCF Model" sheetId="4" r:id="rId5"/>
    <sheet name="WACC" sheetId="5" r:id="rId6"/>
    <sheet name="Investment Memo"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9" i="5" l="1"/>
  <c r="B47" i="4"/>
  <c r="D6" i="8"/>
  <c r="B24" i="2"/>
  <c r="B35" i="4"/>
  <c r="H19" i="8"/>
  <c r="I17" i="8"/>
  <c r="C15" i="8"/>
  <c r="H16" i="8"/>
  <c r="H17" i="8"/>
  <c r="H15" i="8"/>
  <c r="E19" i="8"/>
  <c r="D19" i="8"/>
  <c r="C19" i="8"/>
  <c r="E21" i="8"/>
  <c r="D21" i="8"/>
  <c r="C21" i="8"/>
  <c r="G21" i="8" s="1"/>
  <c r="B21" i="8"/>
  <c r="E20" i="8"/>
  <c r="D20" i="8"/>
  <c r="C20" i="8"/>
  <c r="B20" i="8"/>
  <c r="E18" i="8"/>
  <c r="D18" i="8"/>
  <c r="C18" i="8"/>
  <c r="B18" i="8"/>
  <c r="F18" i="8" s="1"/>
  <c r="E17" i="8"/>
  <c r="D17" i="8"/>
  <c r="E15" i="8"/>
  <c r="E16" i="8"/>
  <c r="D16" i="8"/>
  <c r="C16" i="8"/>
  <c r="B16" i="8"/>
  <c r="D15" i="8"/>
  <c r="B15" i="8"/>
  <c r="F15" i="8" s="1"/>
  <c r="G7" i="8"/>
  <c r="O7" i="8" s="1"/>
  <c r="C17" i="8" s="1"/>
  <c r="G6" i="8"/>
  <c r="O6" i="8" s="1"/>
  <c r="B17" i="8" s="1"/>
  <c r="B54" i="4"/>
  <c r="B52" i="4"/>
  <c r="B16" i="5"/>
  <c r="C23" i="3"/>
  <c r="B34" i="3"/>
  <c r="C34" i="3"/>
  <c r="D34" i="3"/>
  <c r="E34" i="3"/>
  <c r="C8" i="3"/>
  <c r="B43" i="4"/>
  <c r="B45" i="4"/>
  <c r="B12" i="5"/>
  <c r="B7" i="5"/>
  <c r="B32" i="4"/>
  <c r="F13" i="4"/>
  <c r="E13" i="4"/>
  <c r="D13" i="4"/>
  <c r="C13" i="4"/>
  <c r="B13" i="4"/>
  <c r="F7" i="4"/>
  <c r="E7" i="4"/>
  <c r="D7" i="4"/>
  <c r="C7" i="4"/>
  <c r="B7" i="4"/>
  <c r="F5" i="4"/>
  <c r="E5" i="4"/>
  <c r="D5" i="4"/>
  <c r="C5" i="4"/>
  <c r="B5" i="4"/>
  <c r="B6" i="4" s="1"/>
  <c r="C4" i="4"/>
  <c r="F34" i="3"/>
  <c r="F23" i="3"/>
  <c r="E23" i="3"/>
  <c r="D23" i="3"/>
  <c r="G23" i="3"/>
  <c r="E14" i="3"/>
  <c r="D14" i="3"/>
  <c r="C14" i="3"/>
  <c r="B14" i="3"/>
  <c r="G13" i="3"/>
  <c r="E8" i="3"/>
  <c r="D8" i="3"/>
  <c r="G7" i="3"/>
  <c r="F16" i="8" l="1"/>
  <c r="G17" i="8"/>
  <c r="J17" i="8" s="1"/>
  <c r="G18" i="8"/>
  <c r="G20" i="8"/>
  <c r="G16" i="8"/>
  <c r="I16" i="8" s="1"/>
  <c r="J16" i="8" s="1"/>
  <c r="F21" i="8"/>
  <c r="G15" i="8"/>
  <c r="I15" i="8" s="1"/>
  <c r="J15" i="8" s="1"/>
  <c r="F17" i="8"/>
  <c r="F20" i="8"/>
  <c r="P6" i="8"/>
  <c r="B19" i="8" s="1"/>
  <c r="C6" i="4"/>
  <c r="C8" i="4" s="1"/>
  <c r="C9" i="4" s="1"/>
  <c r="B8" i="4"/>
  <c r="B9" i="4" s="1"/>
  <c r="C26" i="4"/>
  <c r="F26" i="4"/>
  <c r="B26" i="4"/>
  <c r="D26" i="4"/>
  <c r="E26" i="4"/>
  <c r="D4" i="4"/>
  <c r="B28" i="4" l="1"/>
  <c r="E28" i="4"/>
  <c r="C28" i="4"/>
  <c r="F28" i="4"/>
  <c r="D28" i="4"/>
  <c r="G19" i="8"/>
  <c r="I19" i="8" s="1"/>
  <c r="J19" i="8" s="1"/>
  <c r="F19" i="8"/>
  <c r="C14" i="4"/>
  <c r="C22" i="4"/>
  <c r="C21" i="4"/>
  <c r="C10" i="4"/>
  <c r="C20" i="4"/>
  <c r="B22" i="4"/>
  <c r="B21" i="4"/>
  <c r="B20" i="4"/>
  <c r="B14" i="4"/>
  <c r="B10" i="4"/>
  <c r="D6" i="4"/>
  <c r="D8" i="4" s="1"/>
  <c r="E4" i="4"/>
  <c r="C16" i="4"/>
  <c r="C17" i="4" s="1"/>
  <c r="C15" i="4" l="1"/>
  <c r="C23" i="4"/>
  <c r="C29" i="4" s="1"/>
  <c r="B16" i="4"/>
  <c r="B17" i="4" s="1"/>
  <c r="B23" i="4" s="1"/>
  <c r="B29" i="4" s="1"/>
  <c r="B15" i="4"/>
  <c r="D9" i="4"/>
  <c r="D10" i="4" s="1"/>
  <c r="E6" i="4"/>
  <c r="E8" i="4" s="1"/>
  <c r="F4" i="4"/>
  <c r="D20" i="4"/>
  <c r="D22" i="4"/>
  <c r="D21" i="4"/>
  <c r="D14" i="4"/>
  <c r="D15" i="4" l="1"/>
  <c r="E9" i="4"/>
  <c r="E10" i="4" s="1"/>
  <c r="E20" i="4"/>
  <c r="E21" i="4"/>
  <c r="E14" i="4"/>
  <c r="E22" i="4"/>
  <c r="D16" i="4"/>
  <c r="D17" i="4" s="1"/>
  <c r="D23" i="4" s="1"/>
  <c r="D29" i="4" s="1"/>
  <c r="F6" i="4"/>
  <c r="F8" i="4" s="1"/>
  <c r="E15" i="4" l="1"/>
  <c r="F9" i="4"/>
  <c r="F10" i="4" s="1"/>
  <c r="F21" i="4"/>
  <c r="G8" i="4"/>
  <c r="F22" i="4"/>
  <c r="F14" i="4"/>
  <c r="F20" i="4"/>
  <c r="E16" i="4"/>
  <c r="E17" i="4" s="1"/>
  <c r="E23" i="4" s="1"/>
  <c r="E29" i="4" s="1"/>
  <c r="F15" i="4" l="1"/>
  <c r="F16" i="4"/>
  <c r="F17" i="4" s="1"/>
  <c r="F23" i="4" s="1"/>
  <c r="B33" i="4" s="1"/>
  <c r="B36" i="4" l="1"/>
  <c r="B37" i="4" s="1"/>
  <c r="G23" i="4"/>
  <c r="F29" i="4"/>
  <c r="B39" i="4" s="1"/>
  <c r="B50" i="4" l="1"/>
  <c r="B53" i="4" s="1"/>
  <c r="B55" i="4" s="1"/>
  <c r="A70" i="4" l="1"/>
  <c r="B56" i="4"/>
  <c r="B51" i="4"/>
  <c r="B34" i="4"/>
  <c r="B40" i="4" s="1"/>
  <c r="B41" i="4" s="1"/>
  <c r="B44" i="4" s="1"/>
  <c r="B46" i="4" s="1"/>
  <c r="A60" i="4" s="1"/>
  <c r="B42" i="4" l="1"/>
  <c r="B48" i="4"/>
</calcChain>
</file>

<file path=xl/sharedStrings.xml><?xml version="1.0" encoding="utf-8"?>
<sst xmlns="http://schemas.openxmlformats.org/spreadsheetml/2006/main" count="343" uniqueCount="316">
  <si>
    <t>AJ BELL PLC (AJB.L)</t>
  </si>
  <si>
    <t>Ticker</t>
  </si>
  <si>
    <t>AJB.L</t>
  </si>
  <si>
    <t>Exchange</t>
  </si>
  <si>
    <t>London Stock Exchange (Main Market)</t>
  </si>
  <si>
    <t>Sector</t>
  </si>
  <si>
    <t>Financial Services — Investment Platform</t>
  </si>
  <si>
    <t>Financial Year End</t>
  </si>
  <si>
    <t>30 September</t>
  </si>
  <si>
    <t>Reporting Currency</t>
  </si>
  <si>
    <t>GBP (£ millions)</t>
  </si>
  <si>
    <t>Historical Period</t>
  </si>
  <si>
    <t>FY22 – FY25 (audited)</t>
  </si>
  <si>
    <t>Forecast Period</t>
  </si>
  <si>
    <t>FY26E – FY30E</t>
  </si>
  <si>
    <t>Model Author</t>
  </si>
  <si>
    <t>Last Updated</t>
  </si>
  <si>
    <t>Sheet Navigation</t>
  </si>
  <si>
    <t>Assumptions</t>
  </si>
  <si>
    <t>Key model inputs — revenue drivers, margins, capex, tax</t>
  </si>
  <si>
    <t>Historicals</t>
  </si>
  <si>
    <t>FY22-FY25 audited financials + H1 FY26 actuals</t>
  </si>
  <si>
    <t>DCF Model</t>
  </si>
  <si>
    <t>WACC</t>
  </si>
  <si>
    <t>Investment Memo</t>
  </si>
  <si>
    <t>One-page thesis, bull/bear case, valuation summary</t>
  </si>
  <si>
    <t>AJ Bell DCF — Key Assumptions</t>
  </si>
  <si>
    <t>Assumption</t>
  </si>
  <si>
    <t>FY26E</t>
  </si>
  <si>
    <t>FY27E</t>
  </si>
  <si>
    <t>FY28E</t>
  </si>
  <si>
    <t>FY29E</t>
  </si>
  <si>
    <t>FY30E</t>
  </si>
  <si>
    <t>Notes / Source</t>
  </si>
  <si>
    <t>REVENUE DRIVERS</t>
  </si>
  <si>
    <t xml:space="preserve">  AUA Growth Rate (Platform)</t>
  </si>
  <si>
    <t xml:space="preserve">  Revenue Margin on AUA (bps)</t>
  </si>
  <si>
    <t xml:space="preserve">  Transactional Revenue (% of Rev)</t>
  </si>
  <si>
    <t>PROFITABILITY</t>
  </si>
  <si>
    <t xml:space="preserve">  PBT Margin</t>
  </si>
  <si>
    <t xml:space="preserve">  Effective Tax Rate</t>
  </si>
  <si>
    <t>FREE CASH FLOW BRIDGE</t>
  </si>
  <si>
    <t xml:space="preserve">  D&amp;A (% of Revenue)</t>
  </si>
  <si>
    <t xml:space="preserve">  Capex (% of Revenue)</t>
  </si>
  <si>
    <t xml:space="preserve">  Change in NWC (% of Revenue)</t>
  </si>
  <si>
    <t>TERMINAL VALUE</t>
  </si>
  <si>
    <t xml:space="preserve">  Terminal Growth Rate (Gordon Growth)</t>
  </si>
  <si>
    <t xml:space="preserve">  EV/EBITDA Exit Multiple (cross-check)</t>
  </si>
  <si>
    <t>EQUITY BRIDGE &amp; SHARES</t>
  </si>
  <si>
    <t xml:space="preserve">  Net Cash (£m) — FY25 actual</t>
  </si>
  <si>
    <t xml:space="preserve">  Diluted Shares Outstanding (m)</t>
  </si>
  <si>
    <t>AJ Bell — Historical Financials (£000s unless stated)</t>
  </si>
  <si>
    <t>Line Item</t>
  </si>
  <si>
    <t>FY22
30-Sep-22</t>
  </si>
  <si>
    <t>FY23
30-Sep-23</t>
  </si>
  <si>
    <t>FY24
30-Sep-24</t>
  </si>
  <si>
    <t>FY25
30-Sep-25</t>
  </si>
  <si>
    <t>H1 FY26
31-Mar-26</t>
  </si>
  <si>
    <t>FY22-25 CAGR</t>
  </si>
  <si>
    <t>INCOME STATEMENT (£000s)</t>
  </si>
  <si>
    <t xml:space="preserve">    Recurring Fixed Revenue</t>
  </si>
  <si>
    <t xml:space="preserve">    Recurring Ad Valorem Revenue</t>
  </si>
  <si>
    <t xml:space="preserve">    Transactional Revenue</t>
  </si>
  <si>
    <t xml:space="preserve">  Total Revenue</t>
  </si>
  <si>
    <t xml:space="preserve">      YoY Revenue Growth</t>
  </si>
  <si>
    <t xml:space="preserve">  Administrative Expenses</t>
  </si>
  <si>
    <t xml:space="preserve">  Operating Profit</t>
  </si>
  <si>
    <t xml:space="preserve">    Investment Income</t>
  </si>
  <si>
    <t xml:space="preserve">    Finance Costs</t>
  </si>
  <si>
    <t xml:space="preserve">  Profit Before Tax (PBT)</t>
  </si>
  <si>
    <t xml:space="preserve">    PBT Margin</t>
  </si>
  <si>
    <t xml:space="preserve">    Tax Expense</t>
  </si>
  <si>
    <t xml:space="preserve">  Profit After Tax</t>
  </si>
  <si>
    <t xml:space="preserve">    Basic EPS (pence)</t>
  </si>
  <si>
    <t xml:space="preserve">    Diluted EPS (pence)</t>
  </si>
  <si>
    <t xml:space="preserve">    Dividend per Share (pence)</t>
  </si>
  <si>
    <t>KEY OPERATIONAL METRICS</t>
  </si>
  <si>
    <t xml:space="preserve">  Total Platform Customers (000s)</t>
  </si>
  <si>
    <t xml:space="preserve">      YoY Customer Growth</t>
  </si>
  <si>
    <t xml:space="preserve">  Total AUA (£bn)</t>
  </si>
  <si>
    <t xml:space="preserve">    Platform AUA (£bn)</t>
  </si>
  <si>
    <t xml:space="preserve">    AUM — AJ Bell Investments (£bn)</t>
  </si>
  <si>
    <t xml:space="preserve">  Platform Net Inflows (£bn)</t>
  </si>
  <si>
    <t xml:space="preserve">  Customer Retention Rate</t>
  </si>
  <si>
    <t>CASH FLOW SUMMARY (£000s)</t>
  </si>
  <si>
    <t xml:space="preserve">  Operating Cash Flow (net)</t>
  </si>
  <si>
    <t xml:space="preserve">  Capital Expenditure (incl. intan)</t>
  </si>
  <si>
    <t xml:space="preserve">  Free Cash Flow (Operating - Capex)</t>
  </si>
  <si>
    <t xml:space="preserve">  D&amp;A</t>
  </si>
  <si>
    <t xml:space="preserve">  Cash &amp; Equivalents (year-end)</t>
  </si>
  <si>
    <t>BALANCE SHEET HIGHLIGHTS (£000s)</t>
  </si>
  <si>
    <t xml:space="preserve">  Total Non-Current Assets</t>
  </si>
  <si>
    <t xml:space="preserve">  Total Current Assets</t>
  </si>
  <si>
    <t xml:space="preserve">  Total Assets</t>
  </si>
  <si>
    <t xml:space="preserve">  Total Liabilities</t>
  </si>
  <si>
    <t xml:space="preserve">  Net Assets / Total Equity</t>
  </si>
  <si>
    <t xml:space="preserve">  Net Cash Position</t>
  </si>
  <si>
    <t>AJ Bell — DCF Model (£000s)</t>
  </si>
  <si>
    <t>FY26-30E CAGR</t>
  </si>
  <si>
    <t>Formula / Note</t>
  </si>
  <si>
    <t>REVENUE BUILD</t>
  </si>
  <si>
    <t xml:space="preserve">  Opening Platform AUA (£bn)</t>
  </si>
  <si>
    <t xml:space="preserve">  AUA Growth Rate</t>
  </si>
  <si>
    <t>Pulled from Assumptions tab row 4</t>
  </si>
  <si>
    <t xml:space="preserve">  Closing Platform AUA (£bn)</t>
  </si>
  <si>
    <t xml:space="preserve">  Revenue Margin (bps)</t>
  </si>
  <si>
    <t>Pulled from Assumptions tab row 5</t>
  </si>
  <si>
    <t>TOTAL REVENUE (£000s)</t>
  </si>
  <si>
    <t>P&amp;L BUILD</t>
  </si>
  <si>
    <t xml:space="preserve">  Profit Before Tax</t>
  </si>
  <si>
    <t xml:space="preserve">  Tax Expense</t>
  </si>
  <si>
    <t>FREE CASH FLOW BUILD (£000s)</t>
  </si>
  <si>
    <t xml:space="preserve">  Add: D&amp;A</t>
  </si>
  <si>
    <t xml:space="preserve">  Less: Capex</t>
  </si>
  <si>
    <t xml:space="preserve">  Less: Change in NWC</t>
  </si>
  <si>
    <t>UNLEVERED FREE CASH FLOW (UFCF)</t>
  </si>
  <si>
    <t>DISCOUNTING</t>
  </si>
  <si>
    <t xml:space="preserve">  Discount Factor</t>
  </si>
  <si>
    <t xml:space="preserve">  PV of UFCF</t>
  </si>
  <si>
    <t xml:space="preserve">  Terminal Growth Rate</t>
  </si>
  <si>
    <t xml:space="preserve">  Terminal Value — Gordon Growth (£000s)</t>
  </si>
  <si>
    <t xml:space="preserve">  PV of Terminal Value (£000s)</t>
  </si>
  <si>
    <t xml:space="preserve">  Sum of PV FCFs</t>
  </si>
  <si>
    <t>ENTERPRISE VALUE (£000s)</t>
  </si>
  <si>
    <t xml:space="preserve">  Terminal Value as % of EV</t>
  </si>
  <si>
    <t xml:space="preserve">  Add: Net Cash (£000s)</t>
  </si>
  <si>
    <t>EQUITY VALUE (£000s)</t>
  </si>
  <si>
    <t xml:space="preserve">  Implied Upside / (Downside)</t>
  </si>
  <si>
    <t>AJ Bell — WACC Calculation</t>
  </si>
  <si>
    <t>COST OF EQUITY — CAPM</t>
  </si>
  <si>
    <t>Risk-Free Rate (UK 10Y Gilt yield)</t>
  </si>
  <si>
    <t>Equity Risk Premium (UK)</t>
  </si>
  <si>
    <t>Beta (levered)</t>
  </si>
  <si>
    <t>Cost of Equity (Ke)  =  Rf + β × ERP</t>
  </si>
  <si>
    <t>COST OF DEBT</t>
  </si>
  <si>
    <t>Cost of Debt (pre-tax)</t>
  </si>
  <si>
    <t>Tax Rate</t>
  </si>
  <si>
    <t>UK Corp Tax 25%</t>
  </si>
  <si>
    <t>After-Tax Cost of Debt (Kd)</t>
  </si>
  <si>
    <t>CAPITAL STRUCTURE</t>
  </si>
  <si>
    <t>Weight of Equity (E/V)</t>
  </si>
  <si>
    <t>Weight of Debt (D/V)</t>
  </si>
  <si>
    <t>WACC  =  (Ke × E/V) + (Kd × D/V)</t>
  </si>
  <si>
    <t>This value flows into DCF Model tab</t>
  </si>
  <si>
    <t>AJ BELL PLC (AJB.L) — Investment Memo</t>
  </si>
  <si>
    <t>BEAR CASE / KEY RISKS</t>
  </si>
  <si>
    <t>VALUATION SUMMARY</t>
  </si>
  <si>
    <t>WHAT WOULD CHANGE MY MIND</t>
  </si>
  <si>
    <t>Notes</t>
  </si>
  <si>
    <t>Main revenue driver, rates decrease assumption as business gets larger</t>
  </si>
  <si>
    <t>Margin on AUA, assume that fees reduce due to competitive pressure</t>
  </si>
  <si>
    <t>PBT margin expands, largely fixed cost base so greater operational leverage</t>
  </si>
  <si>
    <t xml:space="preserve">UK Corp Tax 25%, assume no change </t>
  </si>
  <si>
    <t>FY25: £4.1m D&amp;A / £317.8m rev = 1.3%</t>
  </si>
  <si>
    <t>FY25: £2.4m capex / £317.8m rev = 0.8%</t>
  </si>
  <si>
    <t>FY25: +£8.0m NWC build, platform growth drives receivables growth</t>
  </si>
  <si>
    <t>Long-run UK nominal GDP 2.5%</t>
  </si>
  <si>
    <t>FY25 cash £188.2m, no financial debt (lease liabilities only, £12.1m)</t>
  </si>
  <si>
    <t>3 Year customer growth rate around 13%</t>
  </si>
  <si>
    <t>Assumption that the upwards trajectory reverses from management warning that elevated FX dealing wont repeat</t>
  </si>
  <si>
    <t>FY25 platform AUA closing, Historicals tab</t>
  </si>
  <si>
    <t>Transactional revenue (£000s)</t>
  </si>
  <si>
    <t>Recurring Revenue (£000s)</t>
  </si>
  <si>
    <t>Key driver see Assumptions</t>
  </si>
  <si>
    <t xml:space="preserve">  NOPAT (PBT × (1-Tax)) </t>
  </si>
  <si>
    <t xml:space="preserve">NOPAT is PBT * (1-Tax) instead of EBIT *(1- tax), finance items stripped out as AJ Bell has no debt and minimal finance costs </t>
  </si>
  <si>
    <t>D&amp;A as % of revenue, Assumptions row 13</t>
  </si>
  <si>
    <t>Capex as % of revenue, Assumptions row 14</t>
  </si>
  <si>
    <t>NWC change as % of revenue, Assumptions row 15</t>
  </si>
  <si>
    <t>WACC calculated in WACC tab</t>
  </si>
  <si>
    <t xml:space="preserve">  WACC </t>
  </si>
  <si>
    <t xml:space="preserve">  Discount Period </t>
  </si>
  <si>
    <t>standard assumption for UK equities</t>
  </si>
  <si>
    <t>AJB listed beta vs FTSE All-Share</t>
  </si>
  <si>
    <t>CAPM&lt; formula</t>
  </si>
  <si>
    <t>AJB has no financial debt , Use risk free rate with small spread</t>
  </si>
  <si>
    <t>AJB net cash positive, no financial debt so equity 98%</t>
  </si>
  <si>
    <t>Horizontal axis = WACC</t>
  </si>
  <si>
    <t>Vertical axis = Terminal growth</t>
  </si>
  <si>
    <t>Sensitivity Analysis</t>
  </si>
  <si>
    <t>Vertical axis = Exit Multiple</t>
  </si>
  <si>
    <t>Table 2: Implied Share Price WACC vs EV/EBITDA Exit Multiple</t>
  </si>
  <si>
    <t>Table 1: Implied Share Price, WACC vs Terminal Growth Rate</t>
  </si>
  <si>
    <t xml:space="preserve">  Current Market Price as of July 2026</t>
  </si>
  <si>
    <t xml:space="preserve">  EBITDA</t>
  </si>
  <si>
    <t>EBITDA is just PBT plus D&amp;A again as AJ bell has very little debt and debt expense</t>
  </si>
  <si>
    <t>Exit Multiple</t>
  </si>
  <si>
    <t>Terminal value - Exit Multiple</t>
  </si>
  <si>
    <t>PV of terminal value</t>
  </si>
  <si>
    <t xml:space="preserve">  PV of Terminal Value (Gordon Growth) </t>
  </si>
  <si>
    <t>Enterprise value (exit multiple)</t>
  </si>
  <si>
    <t>EQUITY VALUE Exit multiple</t>
  </si>
  <si>
    <t>IMPLIED SHARE PRICE (pence) (Exit Multiple)</t>
  </si>
  <si>
    <t>ENTERPRISE VALUE BRIDGE (£000s) (Gordon Growth)</t>
  </si>
  <si>
    <t>ENTERPRISE VALUE BRIDGE (£000s) (Exit Multiple)</t>
  </si>
  <si>
    <t>THESIS</t>
  </si>
  <si>
    <t xml:space="preserve">BULL CASE </t>
  </si>
  <si>
    <t>AJ Bell PLC (AJB.L) — Comparable Company Analysis (Comps Table)</t>
  </si>
  <si>
    <t>SECTION 1 — COMPANY OVERVIEW &amp; MARKET DATA</t>
  </si>
  <si>
    <t>Company</t>
  </si>
  <si>
    <t>Tier</t>
  </si>
  <si>
    <t>Market Cap
(£m)</t>
  </si>
  <si>
    <t>Net Cash /
(Debt) £m</t>
  </si>
  <si>
    <t>Enterprise
Value £m</t>
  </si>
  <si>
    <t>TTM Revenue
(£m)</t>
  </si>
  <si>
    <t>Rev Growth
YoY</t>
  </si>
  <si>
    <t>EBITDA /
Adj. Op. Profit £m</t>
  </si>
  <si>
    <t>EBITDA
Margin</t>
  </si>
  <si>
    <t>AUM / AUA
(£bn)</t>
  </si>
  <si>
    <t>Trailing
P/E</t>
  </si>
  <si>
    <t>Forward
P/E</t>
  </si>
  <si>
    <t>EV /
Revenue</t>
  </si>
  <si>
    <t>EV /
EBITDA</t>
  </si>
  <si>
    <t>Div
Yield</t>
  </si>
  <si>
    <t>AJ Bell plc ★ SUBJECT</t>
  </si>
  <si>
    <t>Subject</t>
  </si>
  <si>
    <t>—</t>
  </si>
  <si>
    <t>IntegraFin Holdings</t>
  </si>
  <si>
    <t>Tier 1</t>
  </si>
  <si>
    <t>£67.9bn</t>
  </si>
  <si>
    <t>Quilter plc</t>
  </si>
  <si>
    <t>St. James's Place plc</t>
  </si>
  <si>
    <t>Tatton Asset Management</t>
  </si>
  <si>
    <t>Tier 2</t>
  </si>
  <si>
    <t>Brooks Macdonald Group</t>
  </si>
  <si>
    <t>SECTION 2 — PEER MULTIPLE SUMMARY (Tier 1 only — exclude STJ distorted P/E)</t>
  </si>
  <si>
    <t>Metric</t>
  </si>
  <si>
    <t>AJ Bell
(Subject)</t>
  </si>
  <si>
    <t>IHP
(Tier 1)</t>
  </si>
  <si>
    <t>QLT
(Tier 1)</t>
  </si>
  <si>
    <t>STJ
(Tier 1 — ⚠)</t>
  </si>
  <si>
    <t>Mean
(ex STJ)</t>
  </si>
  <si>
    <t>Median
(ex STJ)</t>
  </si>
  <si>
    <t>Trailing P/E</t>
  </si>
  <si>
    <t>Forward P/E</t>
  </si>
  <si>
    <t>16.7x</t>
  </si>
  <si>
    <t>EV/Revenue</t>
  </si>
  <si>
    <t>Rev Growth YoY</t>
  </si>
  <si>
    <t>EBITDA Margin</t>
  </si>
  <si>
    <t>Div Yield</t>
  </si>
  <si>
    <t>SECTION 3 — KEY ANALYTICAL OBSERVATIONS</t>
  </si>
  <si>
    <t>20.6x</t>
  </si>
  <si>
    <t>Share Price
(GBX)</t>
  </si>
  <si>
    <t>AJBL</t>
  </si>
  <si>
    <t>IHPL</t>
  </si>
  <si>
    <t>QLTL</t>
  </si>
  <si>
    <t>STJL</t>
  </si>
  <si>
    <t>TAML</t>
  </si>
  <si>
    <t>£220.0bn</t>
  </si>
  <si>
    <t>13.6x</t>
  </si>
  <si>
    <t>17.0x</t>
  </si>
  <si>
    <t>0.2x</t>
  </si>
  <si>
    <t>5.2x</t>
  </si>
  <si>
    <t>24.2x</t>
  </si>
  <si>
    <t>16.5x</t>
  </si>
  <si>
    <t>0.1x</t>
  </si>
  <si>
    <t>3.5x</t>
  </si>
  <si>
    <t>24.0x</t>
  </si>
  <si>
    <t>18.3x</t>
  </si>
  <si>
    <t>7.5x</t>
  </si>
  <si>
    <t>£19.9bn</t>
  </si>
  <si>
    <t>29.3x</t>
  </si>
  <si>
    <t>9.5x</t>
  </si>
  <si>
    <t>1.7x</t>
  </si>
  <si>
    <t>14.4x</t>
  </si>
  <si>
    <t xml:space="preserve">HL, Interactive Investor and Nucleus are all private meaning that the listed UK platform universe has shrunk to IHP and QLT as pure comps. This limits the statistical robustness of any mean/median multiple. </t>
  </si>
  <si>
    <t>SJP's P/E is distorted by ongoing advice remediation charges and the 2023 fee restructuring. Its AUM scale (£185bn+) dwarfs AJB, and its advised-only model is structurally different. It is included for context but is not used to compare multiples.</t>
  </si>
  <si>
    <t xml:space="preserve">TAM has 20% revenue growth, 52% group margin, and debt-free balance sheet make it a good operational comp for AJB's trajectory. However its AIM listing, smaller scale (£54m rev vs £318m), and DFM-only model (no direct platform) limit its comparability. It can be used to help validate the margin expansion assumptions but not to compare valuation multiples. </t>
  </si>
  <si>
    <t>AJB yield in line with peers</t>
  </si>
  <si>
    <t>Mixed model company with platform, advice and asset management making it less of a comp than IHP. High revenue and revenue growth but translates into lower EBITDA margin and lower EV/EBITDA, EV/Revenue multiples</t>
  </si>
  <si>
    <t>P/E distorted by ongoing advice remediation charges. The fee model used by SJP under regulatory scrutiny and differs structurally when compared to AJ Bell so use as caution as comp.</t>
  </si>
  <si>
    <t>Partial comp, hence tier 2 with no D2C platform. Smaller earnings but similar multiples/</t>
  </si>
  <si>
    <t>Discretionary wealth manager so tier 2 partial comp only (no platform). Included for sector context with a smaller scale than AJB and different revenue model.</t>
  </si>
  <si>
    <t>AJB margin generally higher than average</t>
  </si>
  <si>
    <t>High growth but comparatively less than QLT great revenue growth in past year</t>
  </si>
  <si>
    <t>Note</t>
  </si>
  <si>
    <t>Discounted Cash Flow Analysis, Comps table &amp; Investment Memo</t>
  </si>
  <si>
    <t>Model Date: July 2026</t>
  </si>
  <si>
    <t xml:space="preserve">Cost of equity (CAPM), cost of debt, capital structure </t>
  </si>
  <si>
    <t>5-year FCF forecast, terminal value, equity bridge WACC vs terminal growth + WACC vs exit multiple tables</t>
  </si>
  <si>
    <t>Comps table</t>
  </si>
  <si>
    <t>-</t>
  </si>
  <si>
    <t>Implied price based on median</t>
  </si>
  <si>
    <t xml:space="preserve">AJB Metric </t>
  </si>
  <si>
    <t xml:space="preserve">Implied upside/ (downside) vs current price </t>
  </si>
  <si>
    <t>Similar  P/E to peers but decreased implied price comparatively</t>
  </si>
  <si>
    <t>Greatest forward P/E; Implied price significantly lower when compared to peers</t>
  </si>
  <si>
    <t>AJ Bell shows highest Ev / EBITDA compared to peers; again compared to peer average AJ Bell EBITDA implies a lower price</t>
  </si>
  <si>
    <t>Highest EV/Revenue Multiple reflects the superior margins however average multiple of peers implies a lower price, but ignores PBT margins</t>
  </si>
  <si>
    <t>2. Peer universe is thin</t>
  </si>
  <si>
    <t>3. St James Place is only a partial comp</t>
  </si>
  <si>
    <t>4. Tatton is the highest quality growth comp but is listed on the AIM</t>
  </si>
  <si>
    <t>1. AJ Bell trades at a premium</t>
  </si>
  <si>
    <t>Average of comparable peers taken, see comps table for details</t>
  </si>
  <si>
    <t>as of 10/07/2026</t>
  </si>
  <si>
    <t xml:space="preserve">  Share price (GBX) </t>
  </si>
  <si>
    <t xml:space="preserve">Data as at: July 2026  |  Currency: GBp / £m unless stated  |  Source: Company filings, Koyfin, Yahoo Finance  |  Blue shading = subject company  </t>
  </si>
  <si>
    <t>Implied Upside / (Downside)</t>
  </si>
  <si>
    <t>BRK</t>
  </si>
  <si>
    <t>PBT margin increasing consistently</t>
  </si>
  <si>
    <t>DCF Base Case: 696.3p
Current Price: 607p as of 10th July 
Implied Upside/(Downside): 10.4%
WACC: 8.6%
Terminal Growth Rate: 2.5%
TV as % of EV: 77%</t>
  </si>
  <si>
    <t>Closest structural comp and runs Transact wrap platform. High EBITDA margin in last 12 months but generally lower multiples compared to AJBell</t>
  </si>
  <si>
    <t>Patrick James</t>
  </si>
  <si>
    <t>Comparison of multiples compared to peers</t>
  </si>
  <si>
    <t>1. Fee compression: Hargreaves Lansdown taken private partly due to competitive pressure, Vanguard or other cheapest platform could compress AJB revenue margins, these have risen from 31.6bps in FY24 to 33.4bps in H1 FY26, driven by interest income and elevated dealing activity, but these are both cyclical and a reduction in bps by 2bps reduces estimated revenue by approx. £21m and is a bear case risk that cannot be fully priced in.
2. Interest rate sensitivity: £232m ad valorem revenue partly driven by retained interest income on cash and is not separately disclosed. If BoE cuts rates to 3% this tailwind is reduced.
3. Regulatory risk: FCA Consumer Duty requires platforms to demonstrate their value for money, Aj Bells fee structure is relatively defensible but there is uncertainty. Furthermore, ISA reform complexity, and pension tax changes create compliance costs and potential customer confusion/outflows.</t>
  </si>
  <si>
    <t>DOWNGRADE triggers: (1) Revenue margin falls below 30bps for 2 consecutive halves, signalling structural fee pressure. (2) Net inflows fall, signalling competitive share loss to Vanguard, interactive investor or Hargreaves Lansdown. (3) Regulatory action by FCA materially restricting ISA/SIPP product economics. (4) Cost growth outpaces revenue growth for 2 consecutive years breaking the operating leverage thesis in the bull case.
UPGRADE triggers: (1) AUA growth re-accelerates above 20% for two consecutive halves as ISA reform drives accelerated platform adoption. (2) Margin expansion faster than modelled (e.g. AI-driven cost reduction). (3) M&amp;A activity in sector at premium multiples re-rates the stock, competitive intensity reduces in D2C segment.</t>
  </si>
  <si>
    <t>AJ Bell is a buy at 607p. The market underestimates the platform's structural growth runway and operational gearing as it accesses a £2.4 trillion addressable market, implying an upside of at least 10% to our DCF-derived fair value of 696p under Gordon growth assumption methodology. (value of 729p under the exit multiple estimation methodology).</t>
  </si>
  <si>
    <t>1. Structural growth: £2.4tn of UK Investable assets are off platform. AJ Bell's dual-channel model (advised + D2C) is the only major platform with scale in both segments simultaneously, giving two independent growth opportunities against a single fixed cost base.
2. Operational gearing: Revenue per customer has grown from £370 in FY22 to £490 approx. in FY25 as AUA per customer rises and dealing activity increases. Cost-to-serve per £AUA is falling, meaning PBT margins are expected to expand in future.
3. Capital returns: 21 consecutive years of dividend growth; £50m buyback FY26; no financial debt = all FCF available for distributions.</t>
  </si>
  <si>
    <t xml:space="preserve">UK 10Y Gilt approx. 4.4% as of Jun 2026 </t>
  </si>
  <si>
    <t>Avg opening+closing AUA × revenue margin, Average is used as fees are earned throughout the year</t>
  </si>
  <si>
    <t>cash flows treated as arriving mid year on average, mid year convention</t>
  </si>
  <si>
    <t>IMPLIED SHARE PRICE (pence) (Gordon growth)</t>
  </si>
  <si>
    <t>Terminal value as% of EV</t>
  </si>
  <si>
    <t>AJ Bell trades at a premium on the price implied by the average of peer multiples. Based on the findings of the DCF model this appears to be justified due to AJB's superior margins and persistent growth in revenue and these margins.</t>
  </si>
  <si>
    <t xml:space="preserve">Transactional rev steps down (FY25had unusually high revenue due to US Tariff volatility </t>
  </si>
  <si>
    <t>Approx. from FY25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</si>
</sst>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quot;£&quot;#,##0"/>
    <numFmt numFmtId="164" formatCode="0.0%;\(0.0%\);\-"/>
    <numFmt numFmtId="165" formatCode="0.0&quot;bps&quot;"/>
    <numFmt numFmtId="166" formatCode="0.0\x"/>
    <numFmt numFmtId="167" formatCode="\£#,##0;&quot;(£&quot;#,##0\);\-"/>
    <numFmt numFmtId="168" formatCode="#,##0.0"/>
    <numFmt numFmtId="169" formatCode="0.00\p"/>
    <numFmt numFmtId="170" formatCode="#,##0.0&quot;bn&quot;"/>
    <numFmt numFmtId="171" formatCode="0.0"/>
    <numFmt numFmtId="172" formatCode="0.000"/>
    <numFmt numFmtId="173" formatCode="0.0\p"/>
    <numFmt numFmtId="174" formatCode="0\p"/>
    <numFmt numFmtId="175" formatCode="\£#,##0"/>
    <numFmt numFmtId="176" formatCode="\£#,##0;&quot;(£&quot;#,##0\)"/>
    <numFmt numFmtId="177" formatCode="0.0%"/>
  </numFmts>
  <fonts count="48" x14ac:knownFonts="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000000"/>
      <name val="Arial"/>
      <charset val="1"/>
    </font>
    <font>
      <b/>
      <sz val="11"/>
      <color rgb="FF1F3864"/>
      <name val="Arial"/>
      <charset val="1"/>
    </font>
    <font>
      <i/>
      <sz val="10"/>
      <color rgb="FF000000"/>
      <name val="Arial"/>
      <charset val="1"/>
    </font>
    <font>
      <sz val="10"/>
      <color rgb="FF0000FF"/>
      <name val="Arial"/>
      <charset val="1"/>
    </font>
    <font>
      <sz val="10"/>
      <color rgb="FF008000"/>
      <name val="Arial"/>
      <charset val="1"/>
    </font>
    <font>
      <b/>
      <sz val="10"/>
      <color rgb="FFFFFFFF"/>
      <name val="Arial"/>
      <charset val="1"/>
    </font>
    <font>
      <i/>
      <sz val="9"/>
      <color rgb="FF595959"/>
      <name val="Arial"/>
      <charset val="1"/>
    </font>
    <font>
      <b/>
      <sz val="10"/>
      <color rgb="FF000000"/>
      <name val="Arial"/>
      <charset val="1"/>
    </font>
    <font>
      <b/>
      <sz val="12"/>
      <color rgb="FF1F3864"/>
      <name val="Arial"/>
      <charset val="1"/>
    </font>
    <font>
      <b/>
      <sz val="10"/>
      <color rgb="FFFF0000"/>
      <name val="Arial"/>
      <charset val="1"/>
    </font>
    <font>
      <b/>
      <i/>
      <sz val="10"/>
      <color rgb="FF595959"/>
      <name val="Arial"/>
      <charset val="1"/>
    </font>
    <font>
      <sz val="8"/>
      <color rgb="FF595959"/>
      <name val="Arial"/>
      <charset val="1"/>
    </font>
    <font>
      <b/>
      <sz val="8"/>
      <color rgb="FF000000"/>
      <name val="Arial"/>
      <charset val="1"/>
    </font>
    <font>
      <sz val="9"/>
      <color rgb="FF000000"/>
      <name val="Arial"/>
      <charset val="1"/>
    </font>
    <font>
      <b/>
      <sz val="9"/>
      <color rgb="FFFF0000"/>
      <name val="Arial"/>
      <charset val="1"/>
    </font>
    <font>
      <sz val="9"/>
      <name val="Arial"/>
      <family val="2"/>
    </font>
    <font>
      <i/>
      <sz val="9"/>
      <name val="Arial"/>
      <family val="2"/>
    </font>
    <font>
      <sz val="10"/>
      <name val="Arial"/>
      <family val="2"/>
    </font>
    <font>
      <sz val="11"/>
      <name val="Calibri"/>
      <family val="2"/>
      <charset val="1"/>
    </font>
    <font>
      <sz val="11"/>
      <name val="Calibri"/>
      <family val="2"/>
      <scheme val="minor"/>
    </font>
    <font>
      <b/>
      <sz val="10"/>
      <name val="Arial"/>
      <family val="2"/>
    </font>
    <font>
      <b/>
      <sz val="11"/>
      <name val="Calibri"/>
      <family val="2"/>
    </font>
    <font>
      <sz val="11"/>
      <color theme="1"/>
      <name val="Calibri"/>
      <family val="2"/>
      <charset val="1"/>
    </font>
    <font>
      <b/>
      <sz val="15"/>
      <color theme="3"/>
      <name val="Calibri"/>
      <family val="2"/>
      <scheme val="minor"/>
    </font>
    <font>
      <b/>
      <sz val="11"/>
      <color theme="1"/>
      <name val="Calibri"/>
      <family val="2"/>
      <scheme val="minor"/>
    </font>
    <font>
      <sz val="10"/>
      <name val="Calibri"/>
      <family val="2"/>
      <charset val="1"/>
    </font>
    <font>
      <b/>
      <sz val="12"/>
      <name val="Arial"/>
      <family val="2"/>
    </font>
    <font>
      <sz val="11"/>
      <name val="Calibri"/>
      <family val="2"/>
    </font>
    <font>
      <sz val="8"/>
      <name val="Arial"/>
      <family val="2"/>
    </font>
    <font>
      <b/>
      <i/>
      <sz val="10"/>
      <color rgb="FF595959"/>
      <name val="Arial"/>
      <family val="2"/>
    </font>
    <font>
      <b/>
      <sz val="11"/>
      <color rgb="FF1F3864"/>
      <name val="Arial"/>
      <family val="2"/>
    </font>
    <font>
      <b/>
      <sz val="11"/>
      <color theme="1"/>
      <name val="Calibri"/>
      <family val="2"/>
    </font>
    <font>
      <sz val="11"/>
      <color theme="1"/>
      <name val="Calibri"/>
      <family val="2"/>
    </font>
    <font>
      <b/>
      <sz val="10"/>
      <color rgb="FFFFFFFF"/>
      <name val="Arial"/>
      <family val="2"/>
    </font>
    <font>
      <b/>
      <sz val="8"/>
      <name val="Arial"/>
      <family val="2"/>
    </font>
    <font>
      <sz val="9"/>
      <color rgb="FF000000"/>
      <name val="Arial"/>
      <family val="2"/>
    </font>
    <font>
      <sz val="9"/>
      <name val="Arial"/>
      <charset val="1"/>
    </font>
    <font>
      <b/>
      <sz val="9"/>
      <color rgb="FF000000"/>
      <name val="Arial"/>
      <charset val="1"/>
    </font>
    <font>
      <sz val="9"/>
      <color theme="1"/>
      <name val="Arial"/>
      <family val="2"/>
    </font>
    <font>
      <sz val="9"/>
      <color rgb="FF595959"/>
      <name val="Arial"/>
      <family val="2"/>
    </font>
    <font>
      <b/>
      <sz val="9"/>
      <color theme="1"/>
      <name val="Arial"/>
      <family val="2"/>
    </font>
    <font>
      <i/>
      <sz val="10"/>
      <color rgb="FF000000"/>
      <name val="Arial"/>
      <family val="2"/>
    </font>
    <font>
      <sz val="10"/>
      <color rgb="FF000000"/>
      <name val="Arial"/>
      <family val="2"/>
    </font>
  </fonts>
  <fills count="14">
    <fill>
      <patternFill patternType="none"/>
    </fill>
    <fill>
      <patternFill patternType="gray125"/>
    </fill>
    <fill>
      <patternFill patternType="solid">
        <fgColor rgb="FFF2F2F2"/>
        <bgColor rgb="FFFFFFFF"/>
      </patternFill>
    </fill>
    <fill>
      <patternFill patternType="solid">
        <fgColor rgb="FFFFFF00"/>
        <bgColor rgb="FFFFFF00"/>
      </patternFill>
    </fill>
    <fill>
      <patternFill patternType="solid">
        <fgColor rgb="FF2E75B6"/>
        <bgColor rgb="FF0066CC"/>
      </patternFill>
    </fill>
    <fill>
      <patternFill patternType="solid">
        <fgColor theme="4" tint="0.79998168889431442"/>
        <bgColor indexed="65"/>
      </patternFill>
    </fill>
    <fill>
      <patternFill patternType="solid">
        <fgColor theme="4" tint="0.39997558519241921"/>
        <bgColor indexed="65"/>
      </patternFill>
    </fill>
    <fill>
      <patternFill patternType="solid">
        <fgColor rgb="FFFFFF00"/>
        <bgColor indexed="64"/>
      </patternFill>
    </fill>
    <fill>
      <patternFill patternType="solid">
        <fgColor theme="0"/>
        <bgColor rgb="FFFFFF00"/>
      </patternFill>
    </fill>
    <fill>
      <patternFill patternType="solid">
        <fgColor theme="0"/>
        <bgColor rgb="FF0066CC"/>
      </patternFill>
    </fill>
    <fill>
      <patternFill patternType="solid">
        <fgColor theme="0"/>
        <bgColor rgb="FFBDD7EE"/>
      </patternFill>
    </fill>
    <fill>
      <patternFill patternType="solid">
        <fgColor theme="0"/>
        <bgColor rgb="FFFFFFFF"/>
      </patternFill>
    </fill>
    <fill>
      <patternFill patternType="solid">
        <fgColor theme="5" tint="0.79998168889431442"/>
        <bgColor indexed="65"/>
      </patternFill>
    </fill>
    <fill>
      <patternFill patternType="solid">
        <fgColor rgb="FFFFFFFF"/>
        <bgColor rgb="FFF2F2F2"/>
      </patternFill>
    </fill>
  </fills>
  <borders count="5">
    <border>
      <left/>
      <right/>
      <top/>
      <bottom/>
      <diagonal/>
    </border>
    <border>
      <left/>
      <right/>
      <top style="thin">
        <color auto="1"/>
      </top>
      <bottom style="thin">
        <color auto="1"/>
      </bottom>
      <diagonal/>
    </border>
    <border>
      <left/>
      <right/>
      <top/>
      <bottom style="double">
        <color auto="1"/>
      </bottom>
      <diagonal/>
    </border>
    <border>
      <left/>
      <right/>
      <top/>
      <bottom style="thick">
        <color theme="4"/>
      </bottom>
      <diagonal/>
    </border>
    <border>
      <left style="thin">
        <color auto="1"/>
      </left>
      <right style="thin">
        <color auto="1"/>
      </right>
      <top style="thin">
        <color auto="1"/>
      </top>
      <bottom style="thin">
        <color auto="1"/>
      </bottom>
      <diagonal/>
    </border>
  </borders>
  <cellStyleXfs count="6">
    <xf numFmtId="0" fontId="0" fillId="0" borderId="0"/>
    <xf numFmtId="0" fontId="4" fillId="5" borderId="0" applyNumberFormat="0" applyBorder="0" applyAlignment="0" applyProtection="0"/>
    <xf numFmtId="0" fontId="4" fillId="6" borderId="0" applyNumberFormat="0" applyBorder="0" applyAlignment="0" applyProtection="0"/>
    <xf numFmtId="9" fontId="27" fillId="0" borderId="0" applyFont="0" applyFill="0" applyBorder="0" applyAlignment="0" applyProtection="0"/>
    <xf numFmtId="0" fontId="28" fillId="0" borderId="3" applyNumberFormat="0" applyFill="0" applyAlignment="0" applyProtection="0"/>
    <xf numFmtId="0" fontId="2" fillId="12" borderId="0" applyNumberFormat="0" applyBorder="0" applyAlignment="0" applyProtection="0"/>
  </cellStyleXfs>
  <cellXfs count="189">
    <xf numFmtId="0" fontId="0" fillId="0" borderId="0" xfId="0"/>
    <xf numFmtId="0" fontId="6" fillId="0" borderId="0" xfId="0" applyFont="1"/>
    <xf numFmtId="0" fontId="5" fillId="2" borderId="0" xfId="0" applyFont="1" applyFill="1"/>
    <xf numFmtId="0" fontId="5" fillId="0" borderId="0" xfId="0" applyFont="1"/>
    <xf numFmtId="0" fontId="7" fillId="0" borderId="0" xfId="0" applyFont="1"/>
    <xf numFmtId="0" fontId="8" fillId="0" borderId="0" xfId="0" applyFont="1"/>
    <xf numFmtId="0" fontId="9" fillId="0" borderId="0" xfId="0" applyFont="1"/>
    <xf numFmtId="0" fontId="5" fillId="0" borderId="0" xfId="0" applyFont="1" applyAlignment="1">
      <alignment horizontal="left" vertical="center"/>
    </xf>
    <xf numFmtId="164" fontId="8" fillId="3" borderId="0" xfId="0" applyNumberFormat="1" applyFont="1" applyFill="1"/>
    <xf numFmtId="164" fontId="5" fillId="0" borderId="0" xfId="0" applyNumberFormat="1" applyFont="1"/>
    <xf numFmtId="2" fontId="8" fillId="3" borderId="0" xfId="0" applyNumberFormat="1" applyFont="1" applyFill="1"/>
    <xf numFmtId="0" fontId="12" fillId="0" borderId="0" xfId="0" applyFont="1"/>
    <xf numFmtId="164" fontId="12" fillId="0" borderId="1" xfId="0" applyNumberFormat="1" applyFont="1" applyBorder="1"/>
    <xf numFmtId="164" fontId="13" fillId="3" borderId="2" xfId="0" applyNumberFormat="1" applyFont="1" applyFill="1" applyBorder="1"/>
    <xf numFmtId="0" fontId="15" fillId="0" borderId="0" xfId="0" applyFont="1"/>
    <xf numFmtId="164" fontId="10" fillId="4" borderId="0" xfId="0" applyNumberFormat="1" applyFont="1" applyFill="1" applyAlignment="1">
      <alignment horizontal="center"/>
    </xf>
    <xf numFmtId="0" fontId="16" fillId="0" borderId="0" xfId="0" applyFont="1" applyAlignment="1">
      <alignment horizontal="center"/>
    </xf>
    <xf numFmtId="166" fontId="10" fillId="4" borderId="0" xfId="0" applyNumberFormat="1" applyFont="1" applyFill="1" applyAlignment="1">
      <alignment horizontal="center"/>
    </xf>
    <xf numFmtId="0" fontId="12" fillId="0" borderId="0" xfId="0" applyFont="1" applyAlignment="1">
      <alignment horizontal="right"/>
    </xf>
    <xf numFmtId="0" fontId="20" fillId="0" borderId="0" xfId="0" applyFont="1"/>
    <xf numFmtId="0" fontId="21" fillId="0" borderId="0" xfId="0" applyFont="1"/>
    <xf numFmtId="0" fontId="4" fillId="6" borderId="0" xfId="2"/>
    <xf numFmtId="0" fontId="4" fillId="6" borderId="0" xfId="2" applyAlignment="1">
      <alignment horizontal="center"/>
    </xf>
    <xf numFmtId="0" fontId="22" fillId="0" borderId="0" xfId="0" applyFont="1" applyAlignment="1">
      <alignment horizontal="left" vertical="center"/>
    </xf>
    <xf numFmtId="164" fontId="22" fillId="0" borderId="0" xfId="0" applyNumberFormat="1" applyFont="1"/>
    <xf numFmtId="0" fontId="23" fillId="0" borderId="0" xfId="0" applyFont="1"/>
    <xf numFmtId="165" fontId="22" fillId="0" borderId="0" xfId="0" applyNumberFormat="1" applyFont="1"/>
    <xf numFmtId="164" fontId="22" fillId="3" borderId="0" xfId="0" applyNumberFormat="1" applyFont="1" applyFill="1"/>
    <xf numFmtId="167" fontId="22" fillId="0" borderId="0" xfId="0" applyNumberFormat="1" applyFont="1"/>
    <xf numFmtId="168" fontId="22" fillId="0" borderId="0" xfId="0" applyNumberFormat="1" applyFont="1"/>
    <xf numFmtId="164" fontId="22" fillId="7" borderId="0" xfId="0" applyNumberFormat="1" applyFont="1" applyFill="1"/>
    <xf numFmtId="166" fontId="22" fillId="7" borderId="0" xfId="0" applyNumberFormat="1" applyFont="1" applyFill="1"/>
    <xf numFmtId="168" fontId="22" fillId="7" borderId="0" xfId="0" applyNumberFormat="1" applyFont="1" applyFill="1"/>
    <xf numFmtId="0" fontId="4" fillId="6" borderId="0" xfId="2" applyAlignment="1">
      <alignment horizontal="center" vertical="center" wrapText="1"/>
    </xf>
    <xf numFmtId="0" fontId="4" fillId="6" borderId="0" xfId="2" applyAlignment="1">
      <alignment horizontal="center" wrapText="1"/>
    </xf>
    <xf numFmtId="0" fontId="22" fillId="0" borderId="0" xfId="0" applyFont="1"/>
    <xf numFmtId="0" fontId="25" fillId="0" borderId="0" xfId="0" applyFont="1"/>
    <xf numFmtId="164" fontId="22" fillId="0" borderId="0" xfId="0" applyNumberFormat="1" applyFont="1" applyAlignment="1">
      <alignment horizontal="center"/>
    </xf>
    <xf numFmtId="169" fontId="22" fillId="0" borderId="0" xfId="0" applyNumberFormat="1" applyFont="1"/>
    <xf numFmtId="170" fontId="22" fillId="0" borderId="0" xfId="0" applyNumberFormat="1" applyFont="1"/>
    <xf numFmtId="0" fontId="26" fillId="0" borderId="0" xfId="0" applyFont="1"/>
    <xf numFmtId="0" fontId="30" fillId="0" borderId="0" xfId="0" applyFont="1"/>
    <xf numFmtId="0" fontId="25" fillId="0" borderId="0" xfId="0" applyFont="1" applyAlignment="1">
      <alignment horizontal="left" vertical="center"/>
    </xf>
    <xf numFmtId="167" fontId="25" fillId="0" borderId="1" xfId="0" applyNumberFormat="1" applyFont="1" applyBorder="1"/>
    <xf numFmtId="167" fontId="25" fillId="0" borderId="0" xfId="0" applyNumberFormat="1" applyFont="1"/>
    <xf numFmtId="167" fontId="25" fillId="0" borderId="2" xfId="0" applyNumberFormat="1" applyFont="1" applyBorder="1"/>
    <xf numFmtId="171" fontId="22" fillId="0" borderId="0" xfId="0" applyNumberFormat="1" applyFont="1"/>
    <xf numFmtId="172" fontId="22" fillId="0" borderId="0" xfId="0" applyNumberFormat="1" applyFont="1"/>
    <xf numFmtId="173" fontId="31" fillId="3" borderId="2" xfId="0" applyNumberFormat="1" applyFont="1" applyFill="1" applyBorder="1"/>
    <xf numFmtId="173" fontId="22" fillId="3" borderId="0" xfId="0" applyNumberFormat="1" applyFont="1" applyFill="1"/>
    <xf numFmtId="164" fontId="25" fillId="0" borderId="0" xfId="0" applyNumberFormat="1" applyFont="1"/>
    <xf numFmtId="0" fontId="29" fillId="5" borderId="0" xfId="1" applyFont="1"/>
    <xf numFmtId="164" fontId="25" fillId="0" borderId="1" xfId="0" applyNumberFormat="1" applyFont="1" applyBorder="1"/>
    <xf numFmtId="9" fontId="23" fillId="0" borderId="0" xfId="0" applyNumberFormat="1" applyFont="1"/>
    <xf numFmtId="9" fontId="23" fillId="0" borderId="0" xfId="3" applyFont="1"/>
    <xf numFmtId="167" fontId="23" fillId="0" borderId="0" xfId="0" applyNumberFormat="1" applyFont="1"/>
    <xf numFmtId="170" fontId="23" fillId="0" borderId="0" xfId="0" applyNumberFormat="1" applyFont="1"/>
    <xf numFmtId="10" fontId="23" fillId="0" borderId="0" xfId="0" applyNumberFormat="1" applyFont="1"/>
    <xf numFmtId="167" fontId="32" fillId="0" borderId="0" xfId="0" applyNumberFormat="1" applyFont="1"/>
    <xf numFmtId="173" fontId="0" fillId="0" borderId="0" xfId="0" applyNumberFormat="1"/>
    <xf numFmtId="173" fontId="22" fillId="0" borderId="0" xfId="0" applyNumberFormat="1" applyFont="1" applyAlignment="1">
      <alignment horizontal="center"/>
    </xf>
    <xf numFmtId="173" fontId="22" fillId="8" borderId="0" xfId="0" applyNumberFormat="1" applyFont="1" applyFill="1" applyAlignment="1">
      <alignment horizontal="center"/>
    </xf>
    <xf numFmtId="0" fontId="28" fillId="0" borderId="0" xfId="4" applyBorder="1" applyAlignment="1">
      <alignment horizontal="center"/>
    </xf>
    <xf numFmtId="164" fontId="10" fillId="9" borderId="0" xfId="0" applyNumberFormat="1" applyFont="1" applyFill="1" applyAlignment="1">
      <alignment horizontal="center"/>
    </xf>
    <xf numFmtId="0" fontId="17" fillId="8" borderId="0" xfId="0" applyFont="1" applyFill="1" applyAlignment="1">
      <alignment horizontal="center"/>
    </xf>
    <xf numFmtId="0" fontId="34" fillId="0" borderId="0" xfId="0" applyFont="1"/>
    <xf numFmtId="0" fontId="35" fillId="0" borderId="0" xfId="0" applyFont="1"/>
    <xf numFmtId="166" fontId="25" fillId="0" borderId="0" xfId="0" applyNumberFormat="1" applyFont="1"/>
    <xf numFmtId="0" fontId="36" fillId="0" borderId="0" xfId="0" applyFont="1"/>
    <xf numFmtId="167" fontId="0" fillId="0" borderId="0" xfId="0" applyNumberFormat="1"/>
    <xf numFmtId="0" fontId="37" fillId="0" borderId="0" xfId="0" applyFont="1"/>
    <xf numFmtId="9" fontId="0" fillId="0" borderId="0" xfId="3" applyFont="1"/>
    <xf numFmtId="173" fontId="22" fillId="7" borderId="0" xfId="0" applyNumberFormat="1" applyFont="1" applyFill="1"/>
    <xf numFmtId="166" fontId="38" fillId="4" borderId="0" xfId="0" applyNumberFormat="1" applyFont="1" applyFill="1" applyAlignment="1">
      <alignment horizontal="center"/>
    </xf>
    <xf numFmtId="169" fontId="33" fillId="0" borderId="0" xfId="0" applyNumberFormat="1" applyFont="1" applyAlignment="1">
      <alignment horizontal="center"/>
    </xf>
    <xf numFmtId="169" fontId="39" fillId="0" borderId="0" xfId="0" applyNumberFormat="1" applyFont="1" applyAlignment="1">
      <alignment horizontal="center"/>
    </xf>
    <xf numFmtId="169" fontId="33" fillId="3" borderId="0" xfId="0" applyNumberFormat="1" applyFont="1" applyFill="1" applyAlignment="1">
      <alignment horizontal="center"/>
    </xf>
    <xf numFmtId="166" fontId="10" fillId="9" borderId="0" xfId="0" applyNumberFormat="1" applyFont="1" applyFill="1" applyAlignment="1">
      <alignment horizontal="center"/>
    </xf>
    <xf numFmtId="166" fontId="38" fillId="9" borderId="0" xfId="0" applyNumberFormat="1" applyFont="1" applyFill="1" applyAlignment="1">
      <alignment horizontal="center"/>
    </xf>
    <xf numFmtId="0" fontId="42" fillId="13" borderId="4" xfId="0" applyFont="1" applyFill="1" applyBorder="1" applyAlignment="1">
      <alignment horizontal="left" vertical="center" wrapText="1"/>
    </xf>
    <xf numFmtId="0" fontId="18" fillId="13" borderId="4" xfId="0" applyFont="1" applyFill="1" applyBorder="1" applyAlignment="1">
      <alignment horizontal="center" vertical="center" wrapText="1"/>
    </xf>
    <xf numFmtId="174" fontId="18" fillId="13" borderId="4" xfId="0" applyNumberFormat="1" applyFont="1" applyFill="1" applyBorder="1" applyAlignment="1">
      <alignment horizontal="center" vertical="center" wrapText="1"/>
    </xf>
    <xf numFmtId="175" fontId="18" fillId="13" borderId="4" xfId="0" applyNumberFormat="1" applyFont="1" applyFill="1" applyBorder="1" applyAlignment="1">
      <alignment horizontal="center" vertical="center" wrapText="1"/>
    </xf>
    <xf numFmtId="176" fontId="18" fillId="13" borderId="4" xfId="0" applyNumberFormat="1" applyFont="1" applyFill="1" applyBorder="1" applyAlignment="1">
      <alignment horizontal="center" vertical="center" wrapText="1"/>
    </xf>
    <xf numFmtId="175" fontId="41" fillId="13" borderId="4" xfId="0" applyNumberFormat="1" applyFont="1" applyFill="1" applyBorder="1" applyAlignment="1">
      <alignment horizontal="center" vertical="center"/>
    </xf>
    <xf numFmtId="10" fontId="18" fillId="13" borderId="4" xfId="0" applyNumberFormat="1" applyFont="1" applyFill="1" applyBorder="1" applyAlignment="1">
      <alignment horizontal="center" vertical="center" wrapText="1"/>
    </xf>
    <xf numFmtId="166" fontId="18" fillId="13" borderId="4" xfId="0" applyNumberFormat="1" applyFont="1" applyFill="1" applyBorder="1" applyAlignment="1">
      <alignment horizontal="center" vertical="center" wrapText="1"/>
    </xf>
    <xf numFmtId="166" fontId="41" fillId="13" borderId="4" xfId="0" applyNumberFormat="1" applyFont="1" applyFill="1" applyBorder="1" applyAlignment="1">
      <alignment horizontal="center" vertical="center"/>
    </xf>
    <xf numFmtId="177" fontId="18" fillId="13" borderId="4" xfId="0" applyNumberFormat="1" applyFont="1" applyFill="1" applyBorder="1" applyAlignment="1">
      <alignment horizontal="center" vertical="center" wrapText="1"/>
    </xf>
    <xf numFmtId="0" fontId="40" fillId="13" borderId="4" xfId="0" applyFont="1" applyFill="1" applyBorder="1" applyAlignment="1">
      <alignment horizontal="center" vertical="center" wrapText="1"/>
    </xf>
    <xf numFmtId="0" fontId="4" fillId="6" borderId="4" xfId="2" applyBorder="1" applyAlignment="1">
      <alignment horizontal="center" vertical="center" wrapText="1"/>
    </xf>
    <xf numFmtId="0" fontId="4" fillId="5" borderId="4" xfId="1" applyBorder="1" applyAlignment="1">
      <alignment horizontal="left" vertical="center" wrapText="1"/>
    </xf>
    <xf numFmtId="0" fontId="4" fillId="5" borderId="4" xfId="1" applyBorder="1" applyAlignment="1">
      <alignment horizontal="center" vertical="center" wrapText="1"/>
    </xf>
    <xf numFmtId="174" fontId="4" fillId="5" borderId="4" xfId="1" applyNumberFormat="1" applyBorder="1" applyAlignment="1">
      <alignment horizontal="center" vertical="center" wrapText="1"/>
    </xf>
    <xf numFmtId="175" fontId="4" fillId="5" borderId="4" xfId="1" applyNumberFormat="1" applyBorder="1" applyAlignment="1">
      <alignment horizontal="center" vertical="center" wrapText="1"/>
    </xf>
    <xf numFmtId="176" fontId="4" fillId="5" borderId="4" xfId="1" applyNumberFormat="1" applyBorder="1" applyAlignment="1">
      <alignment horizontal="center" vertical="center" wrapText="1"/>
    </xf>
    <xf numFmtId="175" fontId="4" fillId="5" borderId="4" xfId="1" applyNumberFormat="1" applyBorder="1" applyAlignment="1">
      <alignment horizontal="center" vertical="center"/>
    </xf>
    <xf numFmtId="177" fontId="4" fillId="5" borderId="4" xfId="1" applyNumberFormat="1" applyBorder="1" applyAlignment="1">
      <alignment horizontal="center" vertical="center" wrapText="1"/>
    </xf>
    <xf numFmtId="170" fontId="4" fillId="5" borderId="4" xfId="1" applyNumberFormat="1" applyBorder="1" applyAlignment="1">
      <alignment horizontal="center" vertical="center" wrapText="1"/>
    </xf>
    <xf numFmtId="166" fontId="4" fillId="5" borderId="4" xfId="1" applyNumberFormat="1" applyBorder="1" applyAlignment="1">
      <alignment horizontal="center" vertical="center" wrapText="1"/>
    </xf>
    <xf numFmtId="166" fontId="4" fillId="5" borderId="4" xfId="1" applyNumberFormat="1" applyBorder="1" applyAlignment="1">
      <alignment horizontal="center" vertical="center"/>
    </xf>
    <xf numFmtId="0" fontId="42" fillId="0" borderId="4" xfId="0" applyFont="1" applyBorder="1" applyAlignment="1">
      <alignment horizontal="left" vertical="center" wrapText="1"/>
    </xf>
    <xf numFmtId="0" fontId="40" fillId="0" borderId="4" xfId="0" applyFont="1" applyBorder="1" applyAlignment="1">
      <alignment horizontal="center" vertical="center" wrapText="1"/>
    </xf>
    <xf numFmtId="0" fontId="18" fillId="0" borderId="4" xfId="0" applyFont="1" applyBorder="1" applyAlignment="1">
      <alignment horizontal="center" vertical="center" wrapText="1"/>
    </xf>
    <xf numFmtId="174" fontId="18" fillId="0" borderId="4" xfId="0" applyNumberFormat="1" applyFont="1" applyBorder="1" applyAlignment="1">
      <alignment horizontal="center" vertical="center" wrapText="1"/>
    </xf>
    <xf numFmtId="175" fontId="18" fillId="0" borderId="4" xfId="0" applyNumberFormat="1" applyFont="1" applyBorder="1" applyAlignment="1">
      <alignment horizontal="center" vertical="center" wrapText="1"/>
    </xf>
    <xf numFmtId="10" fontId="18" fillId="0" borderId="4" xfId="0" applyNumberFormat="1" applyFont="1" applyBorder="1" applyAlignment="1">
      <alignment horizontal="center" vertical="center" wrapText="1"/>
    </xf>
    <xf numFmtId="5" fontId="18" fillId="0" borderId="4" xfId="0" applyNumberFormat="1" applyFont="1" applyBorder="1" applyAlignment="1">
      <alignment horizontal="center" vertical="center" wrapText="1"/>
    </xf>
    <xf numFmtId="177" fontId="18" fillId="0" borderId="4" xfId="0" applyNumberFormat="1" applyFont="1" applyBorder="1" applyAlignment="1">
      <alignment horizontal="center" vertical="center" wrapText="1"/>
    </xf>
    <xf numFmtId="166" fontId="18" fillId="0" borderId="4" xfId="0" applyNumberFormat="1" applyFont="1" applyBorder="1" applyAlignment="1">
      <alignment horizontal="center" vertical="center" wrapText="1"/>
    </xf>
    <xf numFmtId="0" fontId="2" fillId="12" borderId="4" xfId="5" applyBorder="1" applyAlignment="1">
      <alignment horizontal="left" vertical="center" wrapText="1"/>
    </xf>
    <xf numFmtId="0" fontId="2" fillId="12" borderId="4" xfId="5" applyBorder="1" applyAlignment="1">
      <alignment horizontal="center" vertical="center" wrapText="1"/>
    </xf>
    <xf numFmtId="5" fontId="2" fillId="12" borderId="4" xfId="5" applyNumberFormat="1" applyBorder="1" applyAlignment="1">
      <alignment horizontal="center" vertical="center" wrapText="1"/>
    </xf>
    <xf numFmtId="176" fontId="2" fillId="12" borderId="4" xfId="5" applyNumberFormat="1" applyBorder="1" applyAlignment="1">
      <alignment horizontal="center" vertical="center" wrapText="1"/>
    </xf>
    <xf numFmtId="175" fontId="2" fillId="12" borderId="4" xfId="5" applyNumberFormat="1" applyBorder="1" applyAlignment="1">
      <alignment horizontal="center" vertical="center" wrapText="1"/>
    </xf>
    <xf numFmtId="177" fontId="2" fillId="12" borderId="4" xfId="5" applyNumberFormat="1" applyBorder="1" applyAlignment="1">
      <alignment horizontal="center" vertical="center" wrapText="1"/>
    </xf>
    <xf numFmtId="170" fontId="2" fillId="12" borderId="4" xfId="5" applyNumberFormat="1" applyBorder="1" applyAlignment="1">
      <alignment horizontal="center" vertical="center" wrapText="1"/>
    </xf>
    <xf numFmtId="174" fontId="2" fillId="12" borderId="4" xfId="5" applyNumberFormat="1" applyBorder="1" applyAlignment="1">
      <alignment horizontal="center" vertical="center" wrapText="1"/>
    </xf>
    <xf numFmtId="166" fontId="2" fillId="12" borderId="4" xfId="5" applyNumberFormat="1" applyBorder="1" applyAlignment="1">
      <alignment horizontal="center" vertical="center" wrapText="1"/>
    </xf>
    <xf numFmtId="5" fontId="40" fillId="0" borderId="4" xfId="0" applyNumberFormat="1" applyFont="1" applyBorder="1" applyAlignment="1">
      <alignment horizontal="center" vertical="center" wrapText="1"/>
    </xf>
    <xf numFmtId="5" fontId="18" fillId="13" borderId="4" xfId="0" applyNumberFormat="1" applyFont="1" applyFill="1" applyBorder="1" applyAlignment="1">
      <alignment horizontal="center" vertical="center" wrapText="1"/>
    </xf>
    <xf numFmtId="170" fontId="40" fillId="13" borderId="4" xfId="0" applyNumberFormat="1" applyFont="1" applyFill="1" applyBorder="1" applyAlignment="1">
      <alignment horizontal="center" vertical="center" wrapText="1"/>
    </xf>
    <xf numFmtId="166" fontId="40" fillId="13" borderId="4" xfId="0" applyNumberFormat="1" applyFont="1" applyFill="1" applyBorder="1" applyAlignment="1">
      <alignment horizontal="center" vertical="center" wrapText="1"/>
    </xf>
    <xf numFmtId="10" fontId="2" fillId="12" borderId="4" xfId="5" applyNumberFormat="1" applyBorder="1" applyAlignment="1">
      <alignment horizontal="center" vertical="center" wrapText="1"/>
    </xf>
    <xf numFmtId="9" fontId="18" fillId="0" borderId="4" xfId="3" applyFont="1" applyFill="1" applyBorder="1" applyAlignment="1">
      <alignment horizontal="center" vertical="center" wrapText="1"/>
    </xf>
    <xf numFmtId="9" fontId="4" fillId="5" borderId="4" xfId="1" applyNumberFormat="1" applyBorder="1" applyAlignment="1">
      <alignment horizontal="center" vertical="center" wrapText="1"/>
    </xf>
    <xf numFmtId="0" fontId="43" fillId="0" borderId="4" xfId="0" applyFont="1" applyBorder="1" applyAlignment="1">
      <alignment horizontal="left" vertical="center" wrapText="1"/>
    </xf>
    <xf numFmtId="0" fontId="4" fillId="5" borderId="0" xfId="1" applyAlignment="1">
      <alignment horizontal="left" vertical="center"/>
    </xf>
    <xf numFmtId="0" fontId="24" fillId="5" borderId="4" xfId="1" applyFont="1" applyBorder="1" applyAlignment="1">
      <alignment horizontal="left" vertical="top" wrapText="1"/>
    </xf>
    <xf numFmtId="0" fontId="33" fillId="13" borderId="4" xfId="0" applyFont="1" applyFill="1" applyBorder="1" applyAlignment="1">
      <alignment horizontal="left" vertical="top" wrapText="1"/>
    </xf>
    <xf numFmtId="0" fontId="33" fillId="0" borderId="4" xfId="0" applyFont="1" applyBorder="1" applyAlignment="1">
      <alignment horizontal="left" vertical="top" wrapText="1"/>
    </xf>
    <xf numFmtId="0" fontId="24" fillId="12" borderId="4" xfId="5" applyFont="1" applyBorder="1" applyAlignment="1">
      <alignment horizontal="left" vertical="top" wrapText="1"/>
    </xf>
    <xf numFmtId="0" fontId="44" fillId="0" borderId="4" xfId="0" applyFont="1" applyBorder="1" applyAlignment="1">
      <alignment horizontal="left" vertical="center" wrapText="1"/>
    </xf>
    <xf numFmtId="0" fontId="44" fillId="13" borderId="4" xfId="0" applyFont="1" applyFill="1" applyBorder="1" applyAlignment="1">
      <alignment horizontal="left" vertical="center" wrapText="1"/>
    </xf>
    <xf numFmtId="0" fontId="45" fillId="0" borderId="4" xfId="2" applyFont="1" applyFill="1" applyBorder="1" applyAlignment="1">
      <alignment horizontal="left" vertical="center" wrapText="1"/>
    </xf>
    <xf numFmtId="166" fontId="18" fillId="0" borderId="4" xfId="3" applyNumberFormat="1" applyFont="1" applyFill="1" applyBorder="1" applyAlignment="1">
      <alignment horizontal="center" vertical="center" wrapText="1"/>
    </xf>
    <xf numFmtId="166" fontId="4" fillId="0" borderId="4" xfId="1" applyNumberFormat="1" applyFill="1" applyBorder="1" applyAlignment="1">
      <alignment horizontal="center" vertical="center" wrapText="1"/>
    </xf>
    <xf numFmtId="0" fontId="42" fillId="0" borderId="0" xfId="0" applyFont="1" applyAlignment="1">
      <alignment horizontal="left" vertical="center" wrapText="1"/>
    </xf>
    <xf numFmtId="177" fontId="18" fillId="0" borderId="0" xfId="0" applyNumberFormat="1" applyFont="1" applyAlignment="1">
      <alignment horizontal="center" vertical="center" wrapText="1"/>
    </xf>
    <xf numFmtId="10" fontId="18" fillId="0" borderId="0" xfId="0" applyNumberFormat="1" applyFont="1" applyAlignment="1">
      <alignment horizontal="center" vertical="center" wrapText="1"/>
    </xf>
    <xf numFmtId="9" fontId="18" fillId="0" borderId="0" xfId="3" applyFont="1" applyFill="1" applyBorder="1" applyAlignment="1">
      <alignment horizontal="center" vertical="center" wrapText="1"/>
    </xf>
    <xf numFmtId="0" fontId="43" fillId="0" borderId="0" xfId="0" applyFont="1" applyAlignment="1">
      <alignment horizontal="left" vertical="center" wrapText="1"/>
    </xf>
    <xf numFmtId="177" fontId="4" fillId="0" borderId="0" xfId="1" applyNumberFormat="1" applyFill="1" applyBorder="1" applyAlignment="1">
      <alignment horizontal="center" vertical="center" wrapText="1"/>
    </xf>
    <xf numFmtId="0" fontId="1" fillId="6" borderId="4" xfId="2" applyFont="1" applyBorder="1" applyAlignment="1">
      <alignment horizontal="center" vertical="center" wrapText="1"/>
    </xf>
    <xf numFmtId="17" fontId="5" fillId="2" borderId="0" xfId="0" applyNumberFormat="1" applyFont="1" applyFill="1"/>
    <xf numFmtId="0" fontId="46" fillId="0" borderId="0" xfId="0" applyFont="1"/>
    <xf numFmtId="0" fontId="4" fillId="5" borderId="0" xfId="1"/>
    <xf numFmtId="0" fontId="1" fillId="5" borderId="0" xfId="1" applyFont="1"/>
    <xf numFmtId="173" fontId="44" fillId="13" borderId="4" xfId="0" applyNumberFormat="1" applyFont="1" applyFill="1" applyBorder="1" applyAlignment="1">
      <alignment horizontal="left" vertical="center" wrapText="1"/>
    </xf>
    <xf numFmtId="173" fontId="44" fillId="13" borderId="4" xfId="0" applyNumberFormat="1" applyFont="1" applyFill="1" applyBorder="1" applyAlignment="1">
      <alignment horizontal="center" vertical="center" wrapText="1"/>
    </xf>
    <xf numFmtId="169" fontId="44" fillId="13" borderId="4" xfId="0" applyNumberFormat="1" applyFont="1" applyFill="1" applyBorder="1" applyAlignment="1">
      <alignment horizontal="left" vertical="center" wrapText="1"/>
    </xf>
    <xf numFmtId="0" fontId="44" fillId="0" borderId="4" xfId="0" applyFont="1" applyBorder="1" applyAlignment="1">
      <alignment horizontal="center" vertical="center" wrapText="1"/>
    </xf>
    <xf numFmtId="0" fontId="43" fillId="0" borderId="4" xfId="0" applyFont="1" applyBorder="1" applyAlignment="1">
      <alignment horizontal="center" vertical="center" wrapText="1"/>
    </xf>
    <xf numFmtId="9" fontId="44" fillId="13" borderId="4" xfId="3" applyFont="1" applyFill="1" applyBorder="1" applyAlignment="1">
      <alignment horizontal="left" vertical="center" wrapText="1"/>
    </xf>
    <xf numFmtId="9" fontId="44" fillId="0" borderId="4" xfId="3" applyFont="1" applyBorder="1" applyAlignment="1">
      <alignment horizontal="left" vertical="center" wrapText="1"/>
    </xf>
    <xf numFmtId="0" fontId="1" fillId="5" borderId="0" xfId="1" applyFont="1" applyAlignment="1">
      <alignment horizontal="left" vertical="center"/>
    </xf>
    <xf numFmtId="0" fontId="4" fillId="0" borderId="0" xfId="1" applyFill="1" applyAlignment="1">
      <alignment horizontal="left" vertical="center"/>
    </xf>
    <xf numFmtId="0" fontId="47" fillId="0" borderId="0" xfId="0" applyFont="1" applyAlignment="1">
      <alignment horizontal="left" vertical="center"/>
    </xf>
    <xf numFmtId="0" fontId="43" fillId="0" borderId="0" xfId="0" applyFont="1"/>
    <xf numFmtId="177" fontId="22" fillId="7" borderId="0" xfId="3" applyNumberFormat="1" applyFont="1" applyFill="1"/>
    <xf numFmtId="174" fontId="40" fillId="13" borderId="4" xfId="0" applyNumberFormat="1" applyFont="1" applyFill="1" applyBorder="1" applyAlignment="1">
      <alignment horizontal="center" vertical="center" wrapText="1"/>
    </xf>
    <xf numFmtId="173" fontId="2" fillId="12" borderId="4" xfId="5" applyNumberFormat="1" applyBorder="1" applyAlignment="1">
      <alignment horizontal="center" vertical="center" wrapText="1"/>
    </xf>
    <xf numFmtId="0" fontId="1" fillId="12" borderId="4" xfId="5" applyFont="1" applyBorder="1" applyAlignment="1">
      <alignment horizontal="center" vertical="center" wrapText="1"/>
    </xf>
    <xf numFmtId="0" fontId="24" fillId="5" borderId="0" xfId="1" applyFont="1" applyAlignment="1">
      <alignment horizontal="left" vertical="center"/>
    </xf>
    <xf numFmtId="0" fontId="4" fillId="6" borderId="0" xfId="2" applyAlignment="1">
      <alignment horizontal="left" vertical="center"/>
    </xf>
    <xf numFmtId="0" fontId="4" fillId="6" borderId="0" xfId="2"/>
    <xf numFmtId="0" fontId="1" fillId="6" borderId="0" xfId="2" applyFont="1"/>
    <xf numFmtId="0" fontId="4" fillId="5" borderId="0" xfId="1" applyAlignment="1">
      <alignment horizontal="left" vertical="center"/>
    </xf>
    <xf numFmtId="0" fontId="11" fillId="0" borderId="0" xfId="0" applyFont="1"/>
    <xf numFmtId="0" fontId="11" fillId="0" borderId="0" xfId="0" applyFont="1" applyAlignment="1">
      <alignment wrapText="1"/>
    </xf>
    <xf numFmtId="0" fontId="1" fillId="5" borderId="0" xfId="1" applyFont="1" applyAlignment="1">
      <alignment horizontal="left" vertical="center"/>
    </xf>
    <xf numFmtId="0" fontId="43" fillId="2" borderId="0" xfId="0" applyFont="1" applyFill="1" applyAlignment="1">
      <alignment horizontal="left" vertical="center"/>
    </xf>
    <xf numFmtId="0" fontId="43" fillId="0" borderId="0" xfId="1" applyFont="1" applyFill="1" applyAlignment="1">
      <alignment horizontal="left" vertical="center"/>
    </xf>
    <xf numFmtId="0" fontId="40" fillId="0" borderId="0" xfId="0" applyFont="1" applyAlignment="1">
      <alignment horizontal="left" vertical="top" wrapText="1"/>
    </xf>
    <xf numFmtId="0" fontId="18" fillId="0" borderId="0" xfId="0" applyFont="1" applyAlignment="1">
      <alignment horizontal="left" vertical="top" wrapText="1"/>
    </xf>
    <xf numFmtId="0" fontId="0" fillId="0" borderId="0" xfId="0"/>
    <xf numFmtId="0" fontId="19" fillId="0" borderId="0" xfId="0" applyFont="1" applyAlignment="1">
      <alignment horizontal="left" vertical="center" wrapText="1"/>
    </xf>
    <xf numFmtId="0" fontId="14" fillId="0" borderId="0" xfId="0" applyFont="1"/>
    <xf numFmtId="0" fontId="3" fillId="5" borderId="0" xfId="1" applyFont="1" applyAlignment="1">
      <alignment horizontal="left" vertical="center"/>
    </xf>
    <xf numFmtId="0" fontId="40" fillId="8" borderId="0" xfId="0" applyFont="1" applyFill="1" applyAlignment="1">
      <alignment vertical="top" wrapText="1"/>
    </xf>
    <xf numFmtId="0" fontId="18" fillId="8" borderId="0" xfId="0" applyFont="1" applyFill="1" applyAlignment="1">
      <alignment vertical="top" wrapText="1"/>
    </xf>
    <xf numFmtId="0" fontId="40" fillId="10" borderId="0" xfId="0" applyFont="1" applyFill="1" applyAlignment="1">
      <alignment vertical="top" wrapText="1"/>
    </xf>
    <xf numFmtId="0" fontId="18" fillId="10" borderId="0" xfId="0" applyFont="1" applyFill="1" applyAlignment="1">
      <alignment vertical="top" wrapText="1"/>
    </xf>
    <xf numFmtId="0" fontId="19" fillId="0" borderId="0" xfId="0" applyFont="1" applyAlignment="1">
      <alignment wrapText="1"/>
    </xf>
    <xf numFmtId="0" fontId="40" fillId="11" borderId="0" xfId="0" applyFont="1" applyFill="1" applyAlignment="1">
      <alignment vertical="top" wrapText="1"/>
    </xf>
    <xf numFmtId="0" fontId="18" fillId="11" borderId="0" xfId="0" applyFont="1" applyFill="1" applyAlignment="1">
      <alignment vertical="top" wrapText="1"/>
    </xf>
    <xf numFmtId="173" fontId="25" fillId="0" borderId="0" xfId="0" applyNumberFormat="1" applyFont="1" applyAlignment="1">
      <alignment horizontal="center"/>
    </xf>
    <xf numFmtId="173" fontId="25" fillId="8" borderId="0" xfId="0" applyNumberFormat="1" applyFont="1" applyFill="1" applyAlignment="1">
      <alignment horizontal="center"/>
    </xf>
    <xf numFmtId="0" fontId="47" fillId="0" borderId="0" xfId="0" applyFont="1"/>
  </cellXfs>
  <cellStyles count="6">
    <cellStyle name="20% - Accent1" xfId="1" builtinId="30"/>
    <cellStyle name="20% - Accent2" xfId="5" builtinId="34"/>
    <cellStyle name="60% - Accent1" xfId="2" builtinId="32"/>
    <cellStyle name="Heading 1" xfId="4" builtinId="16"/>
    <cellStyle name="Normal" xfId="0" builtinId="0"/>
    <cellStyle name="Percent" xfId="3"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6E4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39"/>
  <sheetViews>
    <sheetView showGridLines="0" topLeftCell="A6" zoomScaleNormal="100" workbookViewId="0">
      <selection activeCell="F22" sqref="F22"/>
    </sheetView>
  </sheetViews>
  <sheetFormatPr defaultColWidth="8.7109375" defaultRowHeight="15" x14ac:dyDescent="0.25"/>
  <cols>
    <col min="1" max="1" width="2" customWidth="1"/>
    <col min="2" max="2" width="60" customWidth="1"/>
    <col min="3" max="3" width="30" customWidth="1"/>
  </cols>
  <sheetData>
    <row r="1" spans="2:7" ht="18" customHeight="1" x14ac:dyDescent="0.25"/>
    <row r="2" spans="2:7" ht="18" customHeight="1" x14ac:dyDescent="0.25"/>
    <row r="3" spans="2:7" ht="18" customHeight="1" x14ac:dyDescent="0.25">
      <c r="B3" s="21"/>
      <c r="C3" s="21"/>
      <c r="D3" s="21"/>
      <c r="E3" s="21"/>
      <c r="F3" s="21"/>
      <c r="G3" s="21"/>
    </row>
    <row r="4" spans="2:7" ht="18" customHeight="1" x14ac:dyDescent="0.25">
      <c r="B4" s="164" t="s">
        <v>0</v>
      </c>
      <c r="C4" s="164"/>
      <c r="D4" s="164"/>
      <c r="E4" s="164"/>
      <c r="F4" s="164"/>
      <c r="G4" s="164"/>
    </row>
    <row r="5" spans="2:7" ht="18" customHeight="1" x14ac:dyDescent="0.25">
      <c r="B5" s="21"/>
      <c r="C5" s="21"/>
      <c r="D5" s="21"/>
      <c r="E5" s="21"/>
      <c r="F5" s="21"/>
      <c r="G5" s="21"/>
    </row>
    <row r="6" spans="2:7" ht="18" customHeight="1" x14ac:dyDescent="0.25">
      <c r="B6" s="164" t="s">
        <v>276</v>
      </c>
      <c r="C6" s="164"/>
      <c r="D6" s="164"/>
      <c r="E6" s="164"/>
      <c r="F6" s="164"/>
      <c r="G6" s="164"/>
    </row>
    <row r="7" spans="2:7" ht="18" customHeight="1" x14ac:dyDescent="0.25">
      <c r="B7" s="21"/>
      <c r="C7" s="21"/>
      <c r="D7" s="21"/>
      <c r="E7" s="21"/>
      <c r="F7" s="21"/>
      <c r="G7" s="21"/>
    </row>
    <row r="8" spans="2:7" ht="18" customHeight="1" x14ac:dyDescent="0.25">
      <c r="B8" s="165"/>
      <c r="C8" s="165"/>
      <c r="D8" s="165"/>
      <c r="E8" s="165"/>
      <c r="F8" s="165"/>
      <c r="G8" s="165"/>
    </row>
    <row r="9" spans="2:7" ht="18" customHeight="1" x14ac:dyDescent="0.25">
      <c r="B9" s="21"/>
      <c r="C9" s="21"/>
      <c r="D9" s="21"/>
      <c r="E9" s="21"/>
      <c r="F9" s="21"/>
      <c r="G9" s="21"/>
    </row>
    <row r="10" spans="2:7" ht="18" customHeight="1" x14ac:dyDescent="0.25">
      <c r="B10" s="166" t="s">
        <v>277</v>
      </c>
      <c r="C10" s="165"/>
      <c r="D10" s="165"/>
      <c r="E10" s="165"/>
      <c r="F10" s="165"/>
      <c r="G10" s="165"/>
    </row>
    <row r="11" spans="2:7" ht="18" customHeight="1" x14ac:dyDescent="0.25">
      <c r="B11" s="21"/>
      <c r="C11" s="21"/>
      <c r="D11" s="21"/>
      <c r="E11" s="21"/>
      <c r="F11" s="21"/>
      <c r="G11" s="21"/>
    </row>
    <row r="12" spans="2:7" ht="18" customHeight="1" x14ac:dyDescent="0.25"/>
    <row r="13" spans="2:7" ht="18" customHeight="1" x14ac:dyDescent="0.25"/>
    <row r="14" spans="2:7" ht="18" customHeight="1" x14ac:dyDescent="0.25">
      <c r="B14" s="146" t="s">
        <v>1</v>
      </c>
      <c r="C14" s="2" t="s">
        <v>2</v>
      </c>
    </row>
    <row r="15" spans="2:7" ht="18" customHeight="1" x14ac:dyDescent="0.25">
      <c r="B15" s="146" t="s">
        <v>3</v>
      </c>
      <c r="C15" s="3" t="s">
        <v>4</v>
      </c>
    </row>
    <row r="16" spans="2:7" ht="18" customHeight="1" x14ac:dyDescent="0.25">
      <c r="B16" s="146" t="s">
        <v>5</v>
      </c>
      <c r="C16" s="2" t="s">
        <v>6</v>
      </c>
    </row>
    <row r="17" spans="2:3" ht="18" customHeight="1" x14ac:dyDescent="0.25">
      <c r="B17" s="146" t="s">
        <v>7</v>
      </c>
      <c r="C17" s="3" t="s">
        <v>8</v>
      </c>
    </row>
    <row r="18" spans="2:3" ht="18" customHeight="1" x14ac:dyDescent="0.25">
      <c r="B18" s="146" t="s">
        <v>9</v>
      </c>
      <c r="C18" s="2" t="s">
        <v>10</v>
      </c>
    </row>
    <row r="19" spans="2:3" ht="18" customHeight="1" x14ac:dyDescent="0.25">
      <c r="B19" s="146" t="s">
        <v>11</v>
      </c>
      <c r="C19" s="3" t="s">
        <v>12</v>
      </c>
    </row>
    <row r="20" spans="2:3" ht="18" customHeight="1" x14ac:dyDescent="0.25">
      <c r="B20" s="146" t="s">
        <v>13</v>
      </c>
      <c r="C20" s="2" t="s">
        <v>14</v>
      </c>
    </row>
    <row r="21" spans="2:3" ht="18" customHeight="1" x14ac:dyDescent="0.25">
      <c r="B21" s="146" t="s">
        <v>15</v>
      </c>
      <c r="C21" s="188" t="s">
        <v>302</v>
      </c>
    </row>
    <row r="22" spans="2:3" ht="18" customHeight="1" x14ac:dyDescent="0.25">
      <c r="B22" s="146" t="s">
        <v>16</v>
      </c>
      <c r="C22" s="144">
        <v>46213</v>
      </c>
    </row>
    <row r="23" spans="2:3" ht="18" customHeight="1" x14ac:dyDescent="0.25"/>
    <row r="24" spans="2:3" ht="18" customHeight="1" x14ac:dyDescent="0.25">
      <c r="B24" s="146" t="s">
        <v>17</v>
      </c>
    </row>
    <row r="25" spans="2:3" ht="18" customHeight="1" x14ac:dyDescent="0.25">
      <c r="B25" s="146" t="s">
        <v>18</v>
      </c>
      <c r="C25" s="4" t="s">
        <v>19</v>
      </c>
    </row>
    <row r="26" spans="2:3" ht="18" customHeight="1" x14ac:dyDescent="0.25">
      <c r="B26" s="146" t="s">
        <v>20</v>
      </c>
      <c r="C26" s="4" t="s">
        <v>21</v>
      </c>
    </row>
    <row r="27" spans="2:3" ht="18" customHeight="1" x14ac:dyDescent="0.25">
      <c r="B27" s="146" t="s">
        <v>22</v>
      </c>
      <c r="C27" s="145" t="s">
        <v>279</v>
      </c>
    </row>
    <row r="28" spans="2:3" ht="18" customHeight="1" x14ac:dyDescent="0.25">
      <c r="B28" s="146" t="s">
        <v>23</v>
      </c>
      <c r="C28" s="145" t="s">
        <v>278</v>
      </c>
    </row>
    <row r="29" spans="2:3" ht="18" customHeight="1" x14ac:dyDescent="0.25">
      <c r="B29" s="147" t="s">
        <v>280</v>
      </c>
      <c r="C29" s="145" t="s">
        <v>303</v>
      </c>
    </row>
    <row r="30" spans="2:3" ht="18" customHeight="1" x14ac:dyDescent="0.25">
      <c r="B30" s="146" t="s">
        <v>24</v>
      </c>
      <c r="C30" s="4" t="s">
        <v>25</v>
      </c>
    </row>
    <row r="31" spans="2:3" ht="18" customHeight="1" x14ac:dyDescent="0.25"/>
    <row r="32" spans="2:3" ht="18" customHeight="1" x14ac:dyDescent="0.25">
      <c r="B32" s="1"/>
    </row>
    <row r="33" spans="2:2" ht="18" customHeight="1" x14ac:dyDescent="0.25">
      <c r="B33" s="5"/>
    </row>
    <row r="34" spans="2:2" ht="18" customHeight="1" x14ac:dyDescent="0.25">
      <c r="B34" s="3"/>
    </row>
    <row r="35" spans="2:2" ht="18" customHeight="1" x14ac:dyDescent="0.25">
      <c r="B35" s="6"/>
    </row>
    <row r="36" spans="2:2" ht="18" customHeight="1" x14ac:dyDescent="0.25">
      <c r="B36" s="3"/>
    </row>
    <row r="37" spans="2:2" ht="18" customHeight="1" x14ac:dyDescent="0.25"/>
    <row r="38" spans="2:2" ht="18" customHeight="1" x14ac:dyDescent="0.25"/>
    <row r="39" spans="2:2" ht="18" customHeight="1" x14ac:dyDescent="0.25"/>
  </sheetData>
  <mergeCells count="4">
    <mergeCell ref="B4:G4"/>
    <mergeCell ref="B6:G6"/>
    <mergeCell ref="B8:G8"/>
    <mergeCell ref="B10:G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showGridLines="0" tabSelected="1" zoomScale="80" zoomScaleNormal="80" workbookViewId="0">
      <selection activeCell="H23" sqref="H23"/>
    </sheetView>
  </sheetViews>
  <sheetFormatPr defaultColWidth="8.7109375" defaultRowHeight="15" x14ac:dyDescent="0.25"/>
  <cols>
    <col min="1" max="1" width="38" customWidth="1"/>
    <col min="2" max="7" width="14" customWidth="1"/>
    <col min="8" max="8" width="32" customWidth="1"/>
  </cols>
  <sheetData>
    <row r="1" spans="1:8" ht="27.75" customHeight="1" x14ac:dyDescent="0.25">
      <c r="A1" s="164" t="s">
        <v>26</v>
      </c>
      <c r="B1" s="164"/>
      <c r="C1" s="164"/>
      <c r="D1" s="164"/>
      <c r="E1" s="164"/>
      <c r="F1" s="164"/>
      <c r="G1" s="164"/>
      <c r="H1" s="164"/>
    </row>
    <row r="2" spans="1:8" ht="15" customHeight="1" x14ac:dyDescent="0.25">
      <c r="A2" s="21" t="s">
        <v>27</v>
      </c>
      <c r="B2" s="22" t="s">
        <v>28</v>
      </c>
      <c r="C2" s="22" t="s">
        <v>29</v>
      </c>
      <c r="D2" s="22" t="s">
        <v>30</v>
      </c>
      <c r="E2" s="22" t="s">
        <v>31</v>
      </c>
      <c r="F2" s="22" t="s">
        <v>32</v>
      </c>
      <c r="G2" s="21"/>
      <c r="H2" s="21" t="s">
        <v>33</v>
      </c>
    </row>
    <row r="3" spans="1:8" ht="15" customHeight="1" x14ac:dyDescent="0.25">
      <c r="A3" s="167" t="s">
        <v>34</v>
      </c>
      <c r="B3" s="167"/>
      <c r="C3" s="167"/>
      <c r="D3" s="167"/>
      <c r="E3" s="167"/>
      <c r="F3" s="167"/>
      <c r="G3" s="167"/>
      <c r="H3" s="167"/>
    </row>
    <row r="4" spans="1:8" ht="15" customHeight="1" x14ac:dyDescent="0.25">
      <c r="A4" s="23" t="s">
        <v>35</v>
      </c>
      <c r="B4" s="24">
        <v>0.14000000000000001</v>
      </c>
      <c r="C4" s="24">
        <v>0.12</v>
      </c>
      <c r="D4" s="24">
        <v>0.11</v>
      </c>
      <c r="E4" s="24">
        <v>0.1</v>
      </c>
      <c r="F4" s="24">
        <v>0.09</v>
      </c>
      <c r="G4" s="25"/>
      <c r="H4" s="19" t="s">
        <v>149</v>
      </c>
    </row>
    <row r="5" spans="1:8" ht="15" customHeight="1" x14ac:dyDescent="0.25">
      <c r="A5" s="23" t="s">
        <v>36</v>
      </c>
      <c r="B5" s="26">
        <v>33.200000000000003</v>
      </c>
      <c r="C5" s="26">
        <v>33</v>
      </c>
      <c r="D5" s="26">
        <v>32.799999999999997</v>
      </c>
      <c r="E5" s="26">
        <v>32.5</v>
      </c>
      <c r="F5" s="26">
        <v>32.299999999999997</v>
      </c>
      <c r="G5" s="25"/>
      <c r="H5" s="19" t="s">
        <v>150</v>
      </c>
    </row>
    <row r="6" spans="1:8" ht="15" customHeight="1" x14ac:dyDescent="0.25">
      <c r="A6" s="23" t="s">
        <v>37</v>
      </c>
      <c r="B6" s="24">
        <v>0.16300000000000001</v>
      </c>
      <c r="C6" s="24">
        <v>0.155</v>
      </c>
      <c r="D6" s="24">
        <v>0.15</v>
      </c>
      <c r="E6" s="24">
        <v>0.14799999999999999</v>
      </c>
      <c r="F6" s="24">
        <v>0.14699999999999999</v>
      </c>
      <c r="G6" s="25"/>
      <c r="H6" s="19" t="s">
        <v>314</v>
      </c>
    </row>
    <row r="7" spans="1:8" x14ac:dyDescent="0.25">
      <c r="A7" s="25"/>
      <c r="B7" s="25"/>
      <c r="C7" s="25"/>
      <c r="D7" s="25"/>
      <c r="E7" s="25"/>
      <c r="F7" s="25"/>
      <c r="G7" s="25"/>
      <c r="H7" s="25"/>
    </row>
    <row r="8" spans="1:8" ht="15" customHeight="1" x14ac:dyDescent="0.25">
      <c r="A8" s="163" t="s">
        <v>38</v>
      </c>
      <c r="B8" s="163"/>
      <c r="C8" s="163"/>
      <c r="D8" s="163"/>
      <c r="E8" s="163"/>
      <c r="F8" s="163"/>
      <c r="G8" s="163"/>
      <c r="H8" s="163"/>
    </row>
    <row r="9" spans="1:8" ht="15" customHeight="1" x14ac:dyDescent="0.25">
      <c r="A9" s="23" t="s">
        <v>39</v>
      </c>
      <c r="B9" s="27">
        <v>0.43</v>
      </c>
      <c r="C9" s="27">
        <v>0.435</v>
      </c>
      <c r="D9" s="27">
        <v>0.438</v>
      </c>
      <c r="E9" s="27">
        <v>0.44</v>
      </c>
      <c r="F9" s="27">
        <v>0.442</v>
      </c>
      <c r="G9" s="25"/>
      <c r="H9" s="19" t="s">
        <v>151</v>
      </c>
    </row>
    <row r="10" spans="1:8" ht="15" customHeight="1" x14ac:dyDescent="0.25">
      <c r="A10" s="23" t="s">
        <v>40</v>
      </c>
      <c r="B10" s="24">
        <v>0.25</v>
      </c>
      <c r="C10" s="24">
        <v>0.25</v>
      </c>
      <c r="D10" s="24">
        <v>0.25</v>
      </c>
      <c r="E10" s="24">
        <v>0.25</v>
      </c>
      <c r="F10" s="24">
        <v>0.25</v>
      </c>
      <c r="G10" s="25"/>
      <c r="H10" s="19" t="s">
        <v>152</v>
      </c>
    </row>
    <row r="11" spans="1:8" x14ac:dyDescent="0.25">
      <c r="A11" s="25"/>
      <c r="B11" s="25"/>
      <c r="C11" s="25"/>
      <c r="D11" s="25"/>
      <c r="E11" s="25"/>
      <c r="F11" s="25"/>
      <c r="G11" s="25"/>
      <c r="H11" s="25"/>
    </row>
    <row r="12" spans="1:8" ht="15" customHeight="1" x14ac:dyDescent="0.25">
      <c r="A12" s="163" t="s">
        <v>41</v>
      </c>
      <c r="B12" s="163"/>
      <c r="C12" s="163"/>
      <c r="D12" s="163"/>
      <c r="E12" s="163"/>
      <c r="F12" s="163"/>
      <c r="G12" s="163"/>
      <c r="H12" s="163"/>
    </row>
    <row r="13" spans="1:8" ht="15" customHeight="1" x14ac:dyDescent="0.25">
      <c r="A13" s="23" t="s">
        <v>42</v>
      </c>
      <c r="B13" s="24">
        <v>1.2999999999999999E-2</v>
      </c>
      <c r="C13" s="24">
        <v>1.2999999999999999E-2</v>
      </c>
      <c r="D13" s="24">
        <v>1.2E-2</v>
      </c>
      <c r="E13" s="24">
        <v>1.2E-2</v>
      </c>
      <c r="F13" s="24">
        <v>1.2E-2</v>
      </c>
      <c r="G13" s="25"/>
      <c r="H13" s="19" t="s">
        <v>153</v>
      </c>
    </row>
    <row r="14" spans="1:8" ht="15" customHeight="1" x14ac:dyDescent="0.25">
      <c r="A14" s="23" t="s">
        <v>43</v>
      </c>
      <c r="B14" s="24">
        <v>8.0000000000000002E-3</v>
      </c>
      <c r="C14" s="24">
        <v>8.0000000000000002E-3</v>
      </c>
      <c r="D14" s="24">
        <v>8.0000000000000002E-3</v>
      </c>
      <c r="E14" s="24">
        <v>8.0000000000000002E-3</v>
      </c>
      <c r="F14" s="24">
        <v>8.0000000000000002E-3</v>
      </c>
      <c r="G14" s="25"/>
      <c r="H14" s="19" t="s">
        <v>154</v>
      </c>
    </row>
    <row r="15" spans="1:8" ht="15" customHeight="1" x14ac:dyDescent="0.25">
      <c r="A15" s="23" t="s">
        <v>44</v>
      </c>
      <c r="B15" s="24">
        <v>0.01</v>
      </c>
      <c r="C15" s="24">
        <v>8.0000000000000002E-3</v>
      </c>
      <c r="D15" s="24">
        <v>7.0000000000000001E-3</v>
      </c>
      <c r="E15" s="24">
        <v>7.0000000000000001E-3</v>
      </c>
      <c r="F15" s="24">
        <v>6.0000000000000001E-3</v>
      </c>
      <c r="G15" s="25"/>
      <c r="H15" s="19" t="s">
        <v>155</v>
      </c>
    </row>
    <row r="16" spans="1:8" x14ac:dyDescent="0.25">
      <c r="A16" s="25"/>
      <c r="B16" s="25"/>
      <c r="C16" s="25"/>
      <c r="D16" s="25"/>
      <c r="E16" s="25"/>
      <c r="F16" s="25"/>
      <c r="G16" s="25"/>
      <c r="H16" s="25"/>
    </row>
    <row r="17" spans="1:8" ht="15" customHeight="1" x14ac:dyDescent="0.25">
      <c r="A17" s="163" t="s">
        <v>45</v>
      </c>
      <c r="B17" s="163"/>
      <c r="C17" s="163"/>
      <c r="D17" s="163"/>
      <c r="E17" s="163"/>
      <c r="F17" s="163"/>
      <c r="G17" s="163"/>
      <c r="H17" s="163"/>
    </row>
    <row r="18" spans="1:8" ht="15" customHeight="1" x14ac:dyDescent="0.25">
      <c r="A18" s="23" t="s">
        <v>46</v>
      </c>
      <c r="B18" s="30">
        <v>2.5000000000000001E-2</v>
      </c>
      <c r="C18" s="20"/>
      <c r="D18" s="25"/>
      <c r="E18" s="25"/>
      <c r="F18" s="25"/>
      <c r="G18" s="25"/>
      <c r="H18" s="19" t="s">
        <v>156</v>
      </c>
    </row>
    <row r="19" spans="1:8" ht="15" customHeight="1" x14ac:dyDescent="0.25">
      <c r="A19" s="23" t="s">
        <v>47</v>
      </c>
      <c r="B19" s="31">
        <v>13</v>
      </c>
      <c r="C19" s="25"/>
      <c r="D19" s="25"/>
      <c r="E19" s="25"/>
      <c r="F19" s="25"/>
      <c r="G19" s="25"/>
      <c r="H19" s="19" t="s">
        <v>293</v>
      </c>
    </row>
    <row r="21" spans="1:8" ht="15" customHeight="1" x14ac:dyDescent="0.25">
      <c r="A21" s="167" t="s">
        <v>48</v>
      </c>
      <c r="B21" s="167"/>
      <c r="C21" s="167"/>
      <c r="D21" s="167"/>
      <c r="E21" s="167"/>
      <c r="F21" s="167"/>
      <c r="G21" s="167"/>
      <c r="H21" s="167"/>
    </row>
    <row r="22" spans="1:8" ht="15" customHeight="1" x14ac:dyDescent="0.25">
      <c r="A22" s="7" t="s">
        <v>49</v>
      </c>
      <c r="B22" s="28">
        <v>188.2</v>
      </c>
      <c r="H22" s="19" t="s">
        <v>157</v>
      </c>
    </row>
    <row r="23" spans="1:8" ht="15" customHeight="1" x14ac:dyDescent="0.25">
      <c r="A23" s="7" t="s">
        <v>50</v>
      </c>
      <c r="B23" s="32">
        <v>411.274</v>
      </c>
      <c r="H23" s="19" t="s">
        <v>315</v>
      </c>
    </row>
    <row r="24" spans="1:8" x14ac:dyDescent="0.25">
      <c r="A24" s="157" t="s">
        <v>295</v>
      </c>
      <c r="B24">
        <f>607</f>
        <v>607</v>
      </c>
      <c r="H24" s="158" t="s">
        <v>294</v>
      </c>
    </row>
    <row r="26" spans="1:8" ht="15" customHeight="1" x14ac:dyDescent="0.25">
      <c r="A26" s="168"/>
      <c r="B26" s="168"/>
      <c r="C26" s="168"/>
      <c r="D26" s="168"/>
      <c r="E26" s="168"/>
      <c r="F26" s="168"/>
      <c r="G26" s="168"/>
      <c r="H26" s="168"/>
    </row>
  </sheetData>
  <mergeCells count="7">
    <mergeCell ref="A21:H21"/>
    <mergeCell ref="A26:H26"/>
    <mergeCell ref="A1:H1"/>
    <mergeCell ref="A3:H3"/>
    <mergeCell ref="A8:H8"/>
    <mergeCell ref="A12:H12"/>
    <mergeCell ref="A17:H1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7"/>
  <sheetViews>
    <sheetView showGridLines="0" zoomScale="80" zoomScaleNormal="80" workbookViewId="0">
      <pane xSplit="1" ySplit="2" topLeftCell="B12" activePane="bottomRight" state="frozen"/>
      <selection pane="topRight" activeCell="B1" sqref="B1"/>
      <selection pane="bottomLeft" activeCell="A3" sqref="A3"/>
      <selection pane="bottomRight" sqref="A1:H1"/>
    </sheetView>
  </sheetViews>
  <sheetFormatPr defaultColWidth="8.7109375" defaultRowHeight="15" x14ac:dyDescent="0.25"/>
  <cols>
    <col min="1" max="1" width="38" customWidth="1"/>
    <col min="2" max="7" width="14" customWidth="1"/>
    <col min="8" max="8" width="28" customWidth="1"/>
  </cols>
  <sheetData>
    <row r="1" spans="1:8" ht="27.75" customHeight="1" x14ac:dyDescent="0.25">
      <c r="A1" s="164" t="s">
        <v>51</v>
      </c>
      <c r="B1" s="164"/>
      <c r="C1" s="164"/>
      <c r="D1" s="164"/>
      <c r="E1" s="164"/>
      <c r="F1" s="164"/>
      <c r="G1" s="164"/>
      <c r="H1" s="164"/>
    </row>
    <row r="2" spans="1:8" ht="31.5" customHeight="1" x14ac:dyDescent="0.25">
      <c r="A2" s="21" t="s">
        <v>52</v>
      </c>
      <c r="B2" s="33" t="s">
        <v>53</v>
      </c>
      <c r="C2" s="33" t="s">
        <v>54</v>
      </c>
      <c r="D2" s="33" t="s">
        <v>55</v>
      </c>
      <c r="E2" s="33" t="s">
        <v>56</v>
      </c>
      <c r="F2" s="33" t="s">
        <v>57</v>
      </c>
      <c r="G2" s="34" t="s">
        <v>58</v>
      </c>
      <c r="H2" s="21" t="s">
        <v>148</v>
      </c>
    </row>
    <row r="3" spans="1:8" ht="15" customHeight="1" x14ac:dyDescent="0.25">
      <c r="A3" s="163" t="s">
        <v>59</v>
      </c>
      <c r="B3" s="163"/>
      <c r="C3" s="163"/>
      <c r="D3" s="163"/>
      <c r="E3" s="163"/>
      <c r="F3" s="163"/>
      <c r="G3" s="163"/>
      <c r="H3" s="163"/>
    </row>
    <row r="4" spans="1:8" ht="15" customHeight="1" x14ac:dyDescent="0.25">
      <c r="A4" s="35" t="s">
        <v>60</v>
      </c>
      <c r="B4" s="58">
        <v>29787</v>
      </c>
      <c r="C4" s="55">
        <v>30666</v>
      </c>
      <c r="D4" s="28">
        <v>32078</v>
      </c>
      <c r="E4" s="28">
        <v>32496</v>
      </c>
      <c r="F4" s="25"/>
      <c r="G4" s="25"/>
      <c r="H4" s="20"/>
    </row>
    <row r="5" spans="1:8" ht="15" customHeight="1" x14ac:dyDescent="0.25">
      <c r="A5" s="35" t="s">
        <v>61</v>
      </c>
      <c r="B5" s="55">
        <v>102184</v>
      </c>
      <c r="C5" s="55">
        <v>161152</v>
      </c>
      <c r="D5" s="28">
        <v>202040</v>
      </c>
      <c r="E5" s="28">
        <v>232384</v>
      </c>
      <c r="F5" s="25"/>
      <c r="G5" s="25"/>
      <c r="H5" s="20"/>
    </row>
    <row r="6" spans="1:8" ht="15" customHeight="1" x14ac:dyDescent="0.25">
      <c r="A6" s="35" t="s">
        <v>62</v>
      </c>
      <c r="B6" s="55">
        <v>31876</v>
      </c>
      <c r="C6" s="55">
        <v>26416</v>
      </c>
      <c r="D6" s="28">
        <v>35317</v>
      </c>
      <c r="E6" s="28">
        <v>52967</v>
      </c>
      <c r="F6" s="25"/>
      <c r="G6" s="25"/>
      <c r="H6" s="20"/>
    </row>
    <row r="7" spans="1:8" ht="15" customHeight="1" x14ac:dyDescent="0.25">
      <c r="A7" s="36" t="s">
        <v>63</v>
      </c>
      <c r="B7" s="28">
        <v>163800</v>
      </c>
      <c r="C7" s="28">
        <v>218200</v>
      </c>
      <c r="D7" s="28">
        <v>269435</v>
      </c>
      <c r="E7" s="28">
        <v>317847</v>
      </c>
      <c r="F7" s="28">
        <v>183000</v>
      </c>
      <c r="G7" s="37">
        <f>(E7/B7)^(1/3)-1</f>
        <v>0.24729181693058488</v>
      </c>
      <c r="H7" s="20"/>
    </row>
    <row r="8" spans="1:8" ht="15" customHeight="1" x14ac:dyDescent="0.25">
      <c r="A8" s="35" t="s">
        <v>64</v>
      </c>
      <c r="B8" s="53">
        <v>0.12</v>
      </c>
      <c r="C8" s="54">
        <f>C7/B7-1</f>
        <v>0.33211233211233204</v>
      </c>
      <c r="D8" s="24">
        <f>D7/C7-1</f>
        <v>0.23480751604033001</v>
      </c>
      <c r="E8" s="24">
        <f>E7/D7-1</f>
        <v>0.17967970011319978</v>
      </c>
      <c r="F8" s="24"/>
      <c r="G8" s="25"/>
      <c r="H8" s="19"/>
    </row>
    <row r="9" spans="1:8" ht="15" customHeight="1" x14ac:dyDescent="0.25">
      <c r="A9" s="35" t="s">
        <v>65</v>
      </c>
      <c r="B9" s="55">
        <v>104886</v>
      </c>
      <c r="C9" s="55">
        <v>132014</v>
      </c>
      <c r="D9" s="28">
        <v>162157</v>
      </c>
      <c r="E9" s="28">
        <v>185890</v>
      </c>
      <c r="F9" s="25"/>
      <c r="G9" s="25"/>
      <c r="H9" s="20"/>
    </row>
    <row r="10" spans="1:8" ht="15" customHeight="1" x14ac:dyDescent="0.25">
      <c r="A10" s="36" t="s">
        <v>66</v>
      </c>
      <c r="B10" s="55">
        <v>58981</v>
      </c>
      <c r="C10" s="55">
        <v>86220</v>
      </c>
      <c r="D10" s="28">
        <v>107278</v>
      </c>
      <c r="E10" s="28">
        <v>131957</v>
      </c>
      <c r="F10" s="25"/>
      <c r="G10" s="25"/>
      <c r="H10" s="20"/>
    </row>
    <row r="11" spans="1:8" ht="15" customHeight="1" x14ac:dyDescent="0.25">
      <c r="A11" s="35" t="s">
        <v>67</v>
      </c>
      <c r="B11" s="55">
        <v>198</v>
      </c>
      <c r="C11" s="55">
        <v>2392</v>
      </c>
      <c r="D11" s="28">
        <v>6909</v>
      </c>
      <c r="E11" s="28">
        <v>6800</v>
      </c>
      <c r="F11" s="25"/>
      <c r="G11" s="25"/>
      <c r="H11" s="20"/>
    </row>
    <row r="12" spans="1:8" ht="15" customHeight="1" x14ac:dyDescent="0.25">
      <c r="A12" s="35" t="s">
        <v>68</v>
      </c>
      <c r="B12" s="55">
        <v>768</v>
      </c>
      <c r="C12" s="55">
        <v>952</v>
      </c>
      <c r="D12" s="28">
        <v>904</v>
      </c>
      <c r="E12" s="28">
        <v>931</v>
      </c>
      <c r="F12" s="25"/>
      <c r="G12" s="25"/>
      <c r="H12" s="20"/>
    </row>
    <row r="13" spans="1:8" ht="15" customHeight="1" x14ac:dyDescent="0.25">
      <c r="A13" s="36" t="s">
        <v>69</v>
      </c>
      <c r="B13" s="28">
        <v>58411</v>
      </c>
      <c r="C13" s="28">
        <v>87661</v>
      </c>
      <c r="D13" s="28">
        <v>113283</v>
      </c>
      <c r="E13" s="28">
        <v>137826</v>
      </c>
      <c r="F13" s="28">
        <v>92800</v>
      </c>
      <c r="G13" s="37">
        <f>(E13/B13)^(1/3)-1</f>
        <v>0.33130890482841258</v>
      </c>
      <c r="H13" s="20"/>
    </row>
    <row r="14" spans="1:8" ht="15" customHeight="1" x14ac:dyDescent="0.25">
      <c r="A14" s="35" t="s">
        <v>70</v>
      </c>
      <c r="B14" s="24">
        <f>B13/B7</f>
        <v>0.35659951159951159</v>
      </c>
      <c r="C14" s="24">
        <f>C13/C7</f>
        <v>0.40174610449129239</v>
      </c>
      <c r="D14" s="24">
        <f>D13/D7</f>
        <v>0.42044648987696476</v>
      </c>
      <c r="E14" s="24">
        <f>E13/E7</f>
        <v>0.43362372462222393</v>
      </c>
      <c r="F14" s="25"/>
      <c r="G14" s="25"/>
      <c r="H14" s="19" t="s">
        <v>299</v>
      </c>
    </row>
    <row r="15" spans="1:8" ht="15" customHeight="1" x14ac:dyDescent="0.25">
      <c r="A15" s="35" t="s">
        <v>71</v>
      </c>
      <c r="B15" s="55">
        <v>11672</v>
      </c>
      <c r="C15" s="55">
        <v>19442</v>
      </c>
      <c r="D15" s="28">
        <v>28988</v>
      </c>
      <c r="E15" s="28">
        <v>32705</v>
      </c>
      <c r="F15" s="25"/>
      <c r="G15" s="25"/>
      <c r="H15" s="20"/>
    </row>
    <row r="16" spans="1:8" ht="15" customHeight="1" x14ac:dyDescent="0.25">
      <c r="A16" s="36" t="s">
        <v>72</v>
      </c>
      <c r="B16" s="55">
        <v>46739</v>
      </c>
      <c r="C16" s="55">
        <v>68219</v>
      </c>
      <c r="D16" s="28">
        <v>84295</v>
      </c>
      <c r="E16" s="28">
        <v>105121</v>
      </c>
      <c r="F16" s="28">
        <v>69160</v>
      </c>
      <c r="G16" s="25"/>
      <c r="H16" s="20"/>
    </row>
    <row r="17" spans="1:8" ht="15" customHeight="1" x14ac:dyDescent="0.25">
      <c r="A17" s="35" t="s">
        <v>73</v>
      </c>
      <c r="B17" s="38">
        <v>11.39</v>
      </c>
      <c r="C17" s="38">
        <v>16.59</v>
      </c>
      <c r="D17" s="38">
        <v>20.46</v>
      </c>
      <c r="E17" s="38">
        <v>25.68</v>
      </c>
      <c r="F17" s="38">
        <v>17.23</v>
      </c>
      <c r="G17" s="25"/>
      <c r="H17" s="20"/>
    </row>
    <row r="18" spans="1:8" ht="15" customHeight="1" x14ac:dyDescent="0.25">
      <c r="A18" s="35" t="s">
        <v>74</v>
      </c>
      <c r="B18" s="38">
        <v>11.35</v>
      </c>
      <c r="C18" s="38">
        <v>16.53</v>
      </c>
      <c r="D18" s="38">
        <v>20.34</v>
      </c>
      <c r="E18" s="38">
        <v>25.56</v>
      </c>
      <c r="F18" s="38">
        <v>17.13</v>
      </c>
      <c r="G18" s="25"/>
      <c r="H18" s="20"/>
    </row>
    <row r="19" spans="1:8" ht="15" customHeight="1" x14ac:dyDescent="0.25">
      <c r="A19" s="35" t="s">
        <v>75</v>
      </c>
      <c r="B19" s="25"/>
      <c r="C19" s="25"/>
      <c r="D19" s="38">
        <v>12.5</v>
      </c>
      <c r="E19" s="38">
        <v>14.25</v>
      </c>
      <c r="F19" s="38">
        <v>5</v>
      </c>
      <c r="G19" s="25"/>
      <c r="H19" s="20"/>
    </row>
    <row r="20" spans="1:8" x14ac:dyDescent="0.25">
      <c r="A20" s="25"/>
      <c r="B20" s="25"/>
      <c r="C20" s="25"/>
      <c r="D20" s="25"/>
      <c r="E20" s="25"/>
      <c r="F20" s="25"/>
      <c r="G20" s="25"/>
      <c r="H20" s="25"/>
    </row>
    <row r="21" spans="1:8" ht="15" customHeight="1" x14ac:dyDescent="0.25">
      <c r="A21" s="163" t="s">
        <v>76</v>
      </c>
      <c r="B21" s="163"/>
      <c r="C21" s="163"/>
      <c r="D21" s="163"/>
      <c r="E21" s="163"/>
      <c r="F21" s="163"/>
      <c r="G21" s="163"/>
      <c r="H21" s="163"/>
    </row>
    <row r="22" spans="1:8" ht="15" customHeight="1" x14ac:dyDescent="0.25">
      <c r="A22" s="36" t="s">
        <v>77</v>
      </c>
      <c r="B22" s="29">
        <v>440.6</v>
      </c>
      <c r="C22" s="29">
        <v>491.4</v>
      </c>
      <c r="D22" s="29">
        <v>542</v>
      </c>
      <c r="E22" s="29">
        <v>644</v>
      </c>
      <c r="F22" s="29">
        <v>723</v>
      </c>
    </row>
    <row r="23" spans="1:8" ht="15" customHeight="1" x14ac:dyDescent="0.25">
      <c r="A23" s="35" t="s">
        <v>78</v>
      </c>
      <c r="B23" s="53">
        <v>0.16</v>
      </c>
      <c r="C23" s="54">
        <f>C22/B22-1</f>
        <v>0.11529732183386288</v>
      </c>
      <c r="D23" s="24">
        <f>D22/C22-1</f>
        <v>0.10297110297110312</v>
      </c>
      <c r="E23" s="24">
        <f>E22/D22-1</f>
        <v>0.18819188191881908</v>
      </c>
      <c r="F23" s="24">
        <f>F22/E22-1</f>
        <v>0.12267080745341619</v>
      </c>
      <c r="G23" s="37">
        <f>(E22/B22)^(1/3)-1</f>
        <v>0.13487263704394992</v>
      </c>
      <c r="H23" s="35" t="s">
        <v>158</v>
      </c>
    </row>
    <row r="24" spans="1:8" ht="15" customHeight="1" x14ac:dyDescent="0.25">
      <c r="A24" s="35" t="s">
        <v>79</v>
      </c>
      <c r="B24" s="56">
        <v>69.2</v>
      </c>
      <c r="C24" s="39">
        <v>76.099999999999994</v>
      </c>
      <c r="D24" s="39">
        <v>92.2</v>
      </c>
      <c r="E24" s="39">
        <v>108.2</v>
      </c>
      <c r="F24" s="39">
        <v>110.2</v>
      </c>
      <c r="G24" s="25"/>
      <c r="H24" s="20"/>
    </row>
    <row r="25" spans="1:8" ht="15" customHeight="1" x14ac:dyDescent="0.25">
      <c r="A25" s="35" t="s">
        <v>80</v>
      </c>
      <c r="B25" s="56">
        <v>64.099999999999994</v>
      </c>
      <c r="C25" s="56">
        <v>70.900000000000006</v>
      </c>
      <c r="D25" s="39">
        <v>86.5</v>
      </c>
      <c r="E25" s="39">
        <v>103.3</v>
      </c>
      <c r="F25" s="39">
        <v>108.7</v>
      </c>
      <c r="G25" s="25"/>
      <c r="H25" s="20"/>
    </row>
    <row r="26" spans="1:8" ht="15" customHeight="1" x14ac:dyDescent="0.25">
      <c r="A26" s="35" t="s">
        <v>81</v>
      </c>
      <c r="B26" s="39">
        <v>2.8</v>
      </c>
      <c r="C26" s="39">
        <v>4.7</v>
      </c>
      <c r="D26" s="39">
        <v>6.8</v>
      </c>
      <c r="E26" s="39">
        <v>8.9</v>
      </c>
      <c r="F26" s="56">
        <v>9.8000000000000007</v>
      </c>
      <c r="G26" s="25"/>
      <c r="H26" s="20"/>
    </row>
    <row r="27" spans="1:8" ht="15" customHeight="1" x14ac:dyDescent="0.25">
      <c r="A27" s="35" t="s">
        <v>36</v>
      </c>
      <c r="B27" s="26">
        <v>22.6</v>
      </c>
      <c r="C27" s="26">
        <v>29.8</v>
      </c>
      <c r="D27" s="26">
        <v>31.6</v>
      </c>
      <c r="E27" s="26">
        <v>32.299999999999997</v>
      </c>
      <c r="F27" s="26">
        <v>33.4</v>
      </c>
      <c r="G27" s="25"/>
      <c r="H27" s="35" t="s">
        <v>159</v>
      </c>
    </row>
    <row r="28" spans="1:8" ht="15" customHeight="1" x14ac:dyDescent="0.25">
      <c r="A28" s="35" t="s">
        <v>82</v>
      </c>
      <c r="B28" s="56">
        <v>3.8</v>
      </c>
      <c r="C28" s="39">
        <v>4.0999999999999996</v>
      </c>
      <c r="D28" s="39">
        <v>6.1</v>
      </c>
      <c r="E28" s="39">
        <v>7.5</v>
      </c>
      <c r="F28" s="39">
        <v>4.2</v>
      </c>
      <c r="G28" s="25"/>
      <c r="H28" s="20"/>
    </row>
    <row r="29" spans="1:8" ht="15" customHeight="1" x14ac:dyDescent="0.25">
      <c r="A29" s="35" t="s">
        <v>83</v>
      </c>
      <c r="B29" s="57">
        <v>0.95499999999999996</v>
      </c>
      <c r="C29" s="24">
        <v>0.95199999999999996</v>
      </c>
      <c r="D29" s="24">
        <v>0.94199999999999995</v>
      </c>
      <c r="E29" s="24">
        <v>0.94099999999999995</v>
      </c>
      <c r="F29" s="57">
        <v>0.94599999999999995</v>
      </c>
      <c r="G29" s="25"/>
      <c r="H29" s="20"/>
    </row>
    <row r="30" spans="1:8" x14ac:dyDescent="0.25">
      <c r="A30" s="25"/>
      <c r="B30" s="25"/>
      <c r="C30" s="25"/>
      <c r="D30" s="25"/>
      <c r="E30" s="25"/>
      <c r="F30" s="25"/>
      <c r="G30" s="25"/>
      <c r="H30" s="25"/>
    </row>
    <row r="31" spans="1:8" ht="15" customHeight="1" x14ac:dyDescent="0.25">
      <c r="A31" s="163" t="s">
        <v>84</v>
      </c>
      <c r="B31" s="163"/>
      <c r="C31" s="163"/>
      <c r="D31" s="163"/>
      <c r="E31" s="163"/>
      <c r="F31" s="163"/>
      <c r="G31" s="163"/>
      <c r="H31" s="163"/>
    </row>
    <row r="32" spans="1:8" ht="15" customHeight="1" x14ac:dyDescent="0.25">
      <c r="A32" s="36" t="s">
        <v>85</v>
      </c>
      <c r="B32" s="55">
        <v>45798</v>
      </c>
      <c r="C32" s="55">
        <v>101410</v>
      </c>
      <c r="D32" s="28">
        <v>96290</v>
      </c>
      <c r="E32" s="28">
        <v>86485</v>
      </c>
      <c r="F32" s="25"/>
      <c r="G32" s="25"/>
      <c r="H32" s="20"/>
    </row>
    <row r="33" spans="1:8" ht="15" customHeight="1" x14ac:dyDescent="0.25">
      <c r="A33" s="35" t="s">
        <v>86</v>
      </c>
      <c r="B33" s="55">
        <v>3379</v>
      </c>
      <c r="C33" s="55">
        <v>3500</v>
      </c>
      <c r="D33" s="28">
        <v>2949</v>
      </c>
      <c r="E33" s="28">
        <v>2436</v>
      </c>
      <c r="F33" s="25"/>
      <c r="G33" s="25"/>
      <c r="H33" s="20"/>
    </row>
    <row r="34" spans="1:8" ht="15" customHeight="1" x14ac:dyDescent="0.25">
      <c r="A34" s="36" t="s">
        <v>87</v>
      </c>
      <c r="B34" s="28">
        <f t="shared" ref="B34:D34" si="0">B32-B33</f>
        <v>42419</v>
      </c>
      <c r="C34" s="28">
        <f t="shared" si="0"/>
        <v>97910</v>
      </c>
      <c r="D34" s="28">
        <f t="shared" si="0"/>
        <v>93341</v>
      </c>
      <c r="E34" s="28">
        <f>E32-E33</f>
        <v>84049</v>
      </c>
      <c r="F34" s="28">
        <f>F32+F33</f>
        <v>0</v>
      </c>
      <c r="G34" s="25"/>
      <c r="H34" s="20"/>
    </row>
    <row r="35" spans="1:8" ht="15" customHeight="1" x14ac:dyDescent="0.25">
      <c r="A35" s="35" t="s">
        <v>88</v>
      </c>
      <c r="B35" s="55">
        <v>3643</v>
      </c>
      <c r="C35" s="55">
        <v>4788</v>
      </c>
      <c r="D35" s="28">
        <v>3432</v>
      </c>
      <c r="E35" s="28">
        <v>4080</v>
      </c>
      <c r="F35" s="25"/>
      <c r="G35" s="25"/>
      <c r="H35" s="20"/>
    </row>
    <row r="36" spans="1:8" ht="15" customHeight="1" x14ac:dyDescent="0.25">
      <c r="A36" s="35" t="s">
        <v>89</v>
      </c>
      <c r="B36" s="55">
        <v>84030</v>
      </c>
      <c r="C36" s="55">
        <v>146304</v>
      </c>
      <c r="D36" s="28">
        <v>196651</v>
      </c>
      <c r="E36" s="28">
        <v>188192</v>
      </c>
      <c r="F36" s="25"/>
      <c r="G36" s="25"/>
      <c r="H36" s="20"/>
    </row>
    <row r="37" spans="1:8" x14ac:dyDescent="0.25">
      <c r="A37" s="25"/>
      <c r="B37" s="25"/>
      <c r="C37" s="25"/>
      <c r="D37" s="25"/>
      <c r="E37" s="25"/>
      <c r="F37" s="25"/>
      <c r="G37" s="25"/>
      <c r="H37" s="25"/>
    </row>
    <row r="38" spans="1:8" x14ac:dyDescent="0.25">
      <c r="A38" s="25"/>
      <c r="B38" s="25"/>
      <c r="C38" s="25"/>
      <c r="D38" s="25"/>
      <c r="E38" s="25"/>
      <c r="F38" s="25"/>
      <c r="G38" s="25"/>
      <c r="H38" s="25"/>
    </row>
    <row r="39" spans="1:8" ht="15" customHeight="1" x14ac:dyDescent="0.25">
      <c r="A39" s="163" t="s">
        <v>90</v>
      </c>
      <c r="B39" s="163"/>
      <c r="C39" s="163"/>
      <c r="D39" s="163"/>
      <c r="E39" s="163"/>
      <c r="F39" s="163"/>
      <c r="G39" s="163"/>
      <c r="H39" s="163"/>
    </row>
    <row r="40" spans="1:8" ht="15" customHeight="1" x14ac:dyDescent="0.25">
      <c r="A40" s="35" t="s">
        <v>91</v>
      </c>
      <c r="B40" s="55">
        <v>31758</v>
      </c>
      <c r="C40" s="55">
        <v>29517</v>
      </c>
      <c r="D40" s="28">
        <v>31616</v>
      </c>
      <c r="E40" s="28">
        <v>34714</v>
      </c>
      <c r="F40" s="25"/>
      <c r="G40" s="25"/>
      <c r="H40" s="20"/>
    </row>
    <row r="41" spans="1:8" ht="15" customHeight="1" x14ac:dyDescent="0.25">
      <c r="A41" s="35" t="s">
        <v>92</v>
      </c>
      <c r="B41" s="55">
        <v>133505</v>
      </c>
      <c r="C41" s="55">
        <v>204805</v>
      </c>
      <c r="D41" s="28">
        <v>257265</v>
      </c>
      <c r="E41" s="28">
        <v>266732</v>
      </c>
      <c r="F41" s="25"/>
      <c r="G41" s="25"/>
      <c r="H41" s="20"/>
    </row>
    <row r="42" spans="1:8" ht="15" customHeight="1" x14ac:dyDescent="0.25">
      <c r="A42" s="36" t="s">
        <v>93</v>
      </c>
      <c r="B42" s="55">
        <v>165482</v>
      </c>
      <c r="C42" s="55">
        <v>234322</v>
      </c>
      <c r="D42" s="28">
        <v>288881</v>
      </c>
      <c r="E42" s="28">
        <v>303080</v>
      </c>
      <c r="F42" s="25"/>
      <c r="G42" s="25"/>
      <c r="H42" s="20"/>
    </row>
    <row r="43" spans="1:8" ht="15" customHeight="1" x14ac:dyDescent="0.25">
      <c r="A43" s="35" t="s">
        <v>94</v>
      </c>
      <c r="B43" s="55">
        <v>32088</v>
      </c>
      <c r="C43" s="55">
        <v>68285</v>
      </c>
      <c r="D43" s="28">
        <v>84891</v>
      </c>
      <c r="E43" s="28">
        <v>85628</v>
      </c>
      <c r="F43" s="25"/>
      <c r="G43" s="25"/>
      <c r="H43" s="20"/>
    </row>
    <row r="44" spans="1:8" ht="15" customHeight="1" x14ac:dyDescent="0.25">
      <c r="A44" s="36" t="s">
        <v>95</v>
      </c>
      <c r="B44" s="55">
        <v>133394</v>
      </c>
      <c r="C44" s="55">
        <v>166037</v>
      </c>
      <c r="D44" s="28">
        <v>203990</v>
      </c>
      <c r="E44" s="28">
        <v>217452</v>
      </c>
      <c r="F44" s="25"/>
      <c r="G44" s="25"/>
      <c r="H44" s="20"/>
    </row>
    <row r="45" spans="1:8" ht="15" customHeight="1" x14ac:dyDescent="0.25">
      <c r="A45" s="35" t="s">
        <v>96</v>
      </c>
      <c r="B45" s="55">
        <v>84030</v>
      </c>
      <c r="C45" s="55">
        <v>146304</v>
      </c>
      <c r="D45" s="28">
        <v>196651</v>
      </c>
      <c r="E45" s="28">
        <v>188192</v>
      </c>
      <c r="F45" s="25"/>
      <c r="G45" s="25"/>
      <c r="H45" s="20"/>
    </row>
    <row r="47" spans="1:8" ht="39.75" customHeight="1" x14ac:dyDescent="0.25">
      <c r="A47" s="169"/>
      <c r="B47" s="169"/>
      <c r="C47" s="169"/>
      <c r="D47" s="169"/>
      <c r="E47" s="169"/>
      <c r="F47" s="169"/>
      <c r="G47" s="169"/>
      <c r="H47" s="169"/>
    </row>
  </sheetData>
  <mergeCells count="6">
    <mergeCell ref="A47:H47"/>
    <mergeCell ref="A1:H1"/>
    <mergeCell ref="A3:H3"/>
    <mergeCell ref="A21:H21"/>
    <mergeCell ref="A31:H31"/>
    <mergeCell ref="A39:H3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8B3BD-93E3-418D-962C-6AF0D71294DB}">
  <dimension ref="A1:R36"/>
  <sheetViews>
    <sheetView showGridLines="0" zoomScale="70" zoomScaleNormal="70" workbookViewId="0">
      <pane ySplit="5" topLeftCell="A15" activePane="bottomLeft" state="frozen"/>
      <selection pane="bottomLeft" activeCell="A26" sqref="A26:P26"/>
    </sheetView>
  </sheetViews>
  <sheetFormatPr defaultColWidth="8.7109375" defaultRowHeight="15" x14ac:dyDescent="0.25"/>
  <cols>
    <col min="1" max="1" width="26" customWidth="1"/>
    <col min="2" max="2" width="9" customWidth="1"/>
    <col min="3" max="3" width="8" customWidth="1"/>
    <col min="4" max="4" width="10" customWidth="1"/>
    <col min="5" max="5" width="12" customWidth="1"/>
    <col min="6" max="7" width="11" customWidth="1"/>
    <col min="8" max="8" width="12" customWidth="1"/>
    <col min="9" max="9" width="10" customWidth="1"/>
    <col min="10" max="10" width="12" customWidth="1"/>
    <col min="11" max="11" width="11" customWidth="1"/>
    <col min="12" max="12" width="10" customWidth="1"/>
    <col min="13" max="17" width="9" customWidth="1"/>
    <col min="18" max="18" width="28" customWidth="1"/>
  </cols>
  <sheetData>
    <row r="1" spans="1:18" ht="27.75" customHeight="1" x14ac:dyDescent="0.25">
      <c r="A1" s="164" t="s">
        <v>197</v>
      </c>
      <c r="B1" s="164"/>
      <c r="C1" s="164"/>
      <c r="D1" s="164"/>
      <c r="E1" s="164"/>
      <c r="F1" s="164"/>
      <c r="G1" s="164"/>
      <c r="H1" s="164"/>
      <c r="I1" s="164"/>
      <c r="J1" s="164"/>
      <c r="K1" s="164"/>
      <c r="L1" s="164"/>
      <c r="M1" s="164"/>
      <c r="N1" s="164"/>
      <c r="O1" s="164"/>
      <c r="P1" s="164"/>
      <c r="Q1" s="164"/>
      <c r="R1" s="164"/>
    </row>
    <row r="2" spans="1:18" ht="19.5" customHeight="1" x14ac:dyDescent="0.25">
      <c r="A2" s="171" t="s">
        <v>296</v>
      </c>
      <c r="B2" s="171"/>
      <c r="C2" s="171"/>
      <c r="D2" s="171"/>
      <c r="E2" s="171"/>
      <c r="F2" s="171"/>
      <c r="G2" s="171"/>
      <c r="H2" s="171"/>
      <c r="I2" s="171"/>
      <c r="J2" s="171"/>
      <c r="K2" s="171"/>
      <c r="L2" s="171"/>
      <c r="M2" s="171"/>
      <c r="N2" s="171"/>
      <c r="O2" s="171"/>
      <c r="P2" s="171"/>
      <c r="Q2" s="171"/>
      <c r="R2" s="171"/>
    </row>
    <row r="4" spans="1:18" ht="18" customHeight="1" x14ac:dyDescent="0.25">
      <c r="A4" s="167" t="s">
        <v>198</v>
      </c>
      <c r="B4" s="167"/>
      <c r="C4" s="167"/>
      <c r="D4" s="167"/>
      <c r="E4" s="167"/>
      <c r="F4" s="167"/>
      <c r="G4" s="167"/>
      <c r="H4" s="167"/>
      <c r="I4" s="167"/>
      <c r="J4" s="167"/>
      <c r="K4" s="167"/>
      <c r="L4" s="167"/>
      <c r="M4" s="167"/>
      <c r="N4" s="167"/>
      <c r="O4" s="167"/>
      <c r="P4" s="167"/>
      <c r="Q4" s="167"/>
      <c r="R4" s="167"/>
    </row>
    <row r="5" spans="1:18" ht="36" customHeight="1" x14ac:dyDescent="0.25">
      <c r="A5" s="90" t="s">
        <v>199</v>
      </c>
      <c r="B5" s="90" t="s">
        <v>1</v>
      </c>
      <c r="C5" s="90" t="s">
        <v>200</v>
      </c>
      <c r="D5" s="90" t="s">
        <v>242</v>
      </c>
      <c r="E5" s="90" t="s">
        <v>201</v>
      </c>
      <c r="F5" s="90" t="s">
        <v>202</v>
      </c>
      <c r="G5" s="90" t="s">
        <v>203</v>
      </c>
      <c r="H5" s="90" t="s">
        <v>204</v>
      </c>
      <c r="I5" s="90" t="s">
        <v>205</v>
      </c>
      <c r="J5" s="90" t="s">
        <v>206</v>
      </c>
      <c r="K5" s="90" t="s">
        <v>207</v>
      </c>
      <c r="L5" s="90" t="s">
        <v>208</v>
      </c>
      <c r="M5" s="90" t="s">
        <v>209</v>
      </c>
      <c r="N5" s="90" t="s">
        <v>210</v>
      </c>
      <c r="O5" s="90" t="s">
        <v>211</v>
      </c>
      <c r="P5" s="90" t="s">
        <v>212</v>
      </c>
      <c r="Q5" s="90" t="s">
        <v>213</v>
      </c>
      <c r="R5" s="90" t="s">
        <v>148</v>
      </c>
    </row>
    <row r="6" spans="1:18" ht="51.75" customHeight="1" x14ac:dyDescent="0.25">
      <c r="A6" s="91" t="s">
        <v>214</v>
      </c>
      <c r="B6" s="92" t="s">
        <v>243</v>
      </c>
      <c r="C6" s="92" t="s">
        <v>215</v>
      </c>
      <c r="D6" s="93">
        <f>Assumptions!B24</f>
        <v>607</v>
      </c>
      <c r="E6" s="94">
        <v>2472</v>
      </c>
      <c r="F6" s="95">
        <v>155.5</v>
      </c>
      <c r="G6" s="96">
        <f>E6-F6</f>
        <v>2316.5</v>
      </c>
      <c r="H6" s="94">
        <v>347.6</v>
      </c>
      <c r="I6" s="97">
        <v>0.19339999999999999</v>
      </c>
      <c r="J6" s="94">
        <v>158.5</v>
      </c>
      <c r="K6" s="97">
        <v>0.45600000000000002</v>
      </c>
      <c r="L6" s="98">
        <v>108.2</v>
      </c>
      <c r="M6" s="99">
        <v>20.7</v>
      </c>
      <c r="N6" s="92" t="s">
        <v>241</v>
      </c>
      <c r="O6" s="100">
        <f>G6/H6</f>
        <v>6.6642692750287686</v>
      </c>
      <c r="P6" s="100">
        <f>G6/J6</f>
        <v>14.615141955835963</v>
      </c>
      <c r="Q6" s="97">
        <v>2.35E-2</v>
      </c>
      <c r="R6" s="128"/>
    </row>
    <row r="7" spans="1:18" ht="51.75" customHeight="1" x14ac:dyDescent="0.25">
      <c r="A7" s="79" t="s">
        <v>217</v>
      </c>
      <c r="B7" s="89" t="s">
        <v>244</v>
      </c>
      <c r="C7" s="80" t="s">
        <v>218</v>
      </c>
      <c r="D7" s="160">
        <v>377.75</v>
      </c>
      <c r="E7" s="82">
        <v>1275.5999999999999</v>
      </c>
      <c r="F7" s="83">
        <v>278</v>
      </c>
      <c r="G7" s="84">
        <f>E7-F7</f>
        <v>997.59999999999991</v>
      </c>
      <c r="H7" s="82">
        <v>165</v>
      </c>
      <c r="I7" s="85">
        <v>9.0300000000000005E-2</v>
      </c>
      <c r="J7" s="120">
        <v>130.6</v>
      </c>
      <c r="K7" s="85">
        <v>0.78959999999999997</v>
      </c>
      <c r="L7" s="80" t="s">
        <v>219</v>
      </c>
      <c r="M7" s="86">
        <v>20.2</v>
      </c>
      <c r="N7" s="86">
        <v>17.8</v>
      </c>
      <c r="O7" s="87">
        <f>G7/H7</f>
        <v>6.0460606060606059</v>
      </c>
      <c r="P7" s="80">
        <v>11.6</v>
      </c>
      <c r="Q7" s="88">
        <v>3.0599999999999999E-2</v>
      </c>
      <c r="R7" s="129" t="s">
        <v>301</v>
      </c>
    </row>
    <row r="8" spans="1:18" ht="51.75" customHeight="1" x14ac:dyDescent="0.25">
      <c r="A8" s="79" t="s">
        <v>220</v>
      </c>
      <c r="B8" s="89" t="s">
        <v>245</v>
      </c>
      <c r="C8" s="80" t="s">
        <v>218</v>
      </c>
      <c r="D8" s="81">
        <v>199.2</v>
      </c>
      <c r="E8" s="82">
        <v>2775</v>
      </c>
      <c r="F8" s="80" t="s">
        <v>216</v>
      </c>
      <c r="G8" s="120">
        <v>1298</v>
      </c>
      <c r="H8" s="82">
        <v>9364</v>
      </c>
      <c r="I8" s="85">
        <v>0.71850000000000003</v>
      </c>
      <c r="J8" s="120">
        <v>362</v>
      </c>
      <c r="K8" s="85">
        <v>3.8699999999999998E-2</v>
      </c>
      <c r="L8" s="121">
        <v>141.9</v>
      </c>
      <c r="M8" s="122" t="s">
        <v>253</v>
      </c>
      <c r="N8" s="89" t="s">
        <v>254</v>
      </c>
      <c r="O8" s="89" t="s">
        <v>255</v>
      </c>
      <c r="P8" s="89" t="s">
        <v>256</v>
      </c>
      <c r="Q8" s="88">
        <v>3.0300000000000001E-2</v>
      </c>
      <c r="R8" s="129" t="s">
        <v>269</v>
      </c>
    </row>
    <row r="9" spans="1:18" ht="51.75" customHeight="1" x14ac:dyDescent="0.25">
      <c r="A9" s="101" t="s">
        <v>221</v>
      </c>
      <c r="B9" s="102" t="s">
        <v>246</v>
      </c>
      <c r="C9" s="103" t="s">
        <v>218</v>
      </c>
      <c r="D9" s="104">
        <v>1165.82</v>
      </c>
      <c r="E9" s="105">
        <v>6777.2</v>
      </c>
      <c r="F9" s="103" t="s">
        <v>216</v>
      </c>
      <c r="G9" s="119">
        <v>6889.9</v>
      </c>
      <c r="H9" s="107">
        <v>30162.400000000001</v>
      </c>
      <c r="I9" s="106">
        <v>0.16120000000000001</v>
      </c>
      <c r="J9" s="107">
        <v>1309.5999999999999</v>
      </c>
      <c r="K9" s="106">
        <v>4.3400000000000001E-2</v>
      </c>
      <c r="L9" s="102" t="s">
        <v>248</v>
      </c>
      <c r="M9" s="102" t="s">
        <v>249</v>
      </c>
      <c r="N9" s="102" t="s">
        <v>250</v>
      </c>
      <c r="O9" s="102" t="s">
        <v>251</v>
      </c>
      <c r="P9" s="102" t="s">
        <v>252</v>
      </c>
      <c r="Q9" s="106">
        <v>1.37E-2</v>
      </c>
      <c r="R9" s="130" t="s">
        <v>270</v>
      </c>
    </row>
    <row r="10" spans="1:18" ht="51.75" customHeight="1" x14ac:dyDescent="0.25">
      <c r="A10" s="110" t="s">
        <v>222</v>
      </c>
      <c r="B10" s="111" t="s">
        <v>247</v>
      </c>
      <c r="C10" s="111" t="s">
        <v>223</v>
      </c>
      <c r="D10" s="161">
        <v>720</v>
      </c>
      <c r="E10" s="112">
        <v>440.6</v>
      </c>
      <c r="F10" s="113">
        <v>34</v>
      </c>
      <c r="G10" s="112">
        <v>406.1</v>
      </c>
      <c r="H10" s="114">
        <v>54.3</v>
      </c>
      <c r="I10" s="115">
        <v>0.2034</v>
      </c>
      <c r="J10" s="114">
        <v>24</v>
      </c>
      <c r="K10" s="115">
        <v>0.4425</v>
      </c>
      <c r="L10" s="116">
        <v>24.2</v>
      </c>
      <c r="M10" s="111" t="s">
        <v>257</v>
      </c>
      <c r="N10" s="111" t="s">
        <v>258</v>
      </c>
      <c r="O10" s="111" t="s">
        <v>259</v>
      </c>
      <c r="P10" s="111" t="s">
        <v>235</v>
      </c>
      <c r="Q10" s="123">
        <v>3.6999999999999998E-2</v>
      </c>
      <c r="R10" s="131" t="s">
        <v>271</v>
      </c>
    </row>
    <row r="11" spans="1:18" ht="51.75" customHeight="1" x14ac:dyDescent="0.25">
      <c r="A11" s="110" t="s">
        <v>224</v>
      </c>
      <c r="B11" s="162" t="s">
        <v>298</v>
      </c>
      <c r="C11" s="111" t="s">
        <v>223</v>
      </c>
      <c r="D11" s="117">
        <v>1315</v>
      </c>
      <c r="E11" s="112">
        <v>200.8</v>
      </c>
      <c r="F11" s="111" t="s">
        <v>216</v>
      </c>
      <c r="G11" s="112">
        <v>201.8</v>
      </c>
      <c r="H11" s="112">
        <v>117.9</v>
      </c>
      <c r="I11" s="123">
        <v>0.1201</v>
      </c>
      <c r="J11" s="112">
        <v>11.6</v>
      </c>
      <c r="K11" s="123">
        <v>9.8400000000000001E-2</v>
      </c>
      <c r="L11" s="111" t="s">
        <v>260</v>
      </c>
      <c r="M11" s="118" t="s">
        <v>261</v>
      </c>
      <c r="N11" s="111" t="s">
        <v>262</v>
      </c>
      <c r="O11" s="111" t="s">
        <v>263</v>
      </c>
      <c r="P11" s="111" t="s">
        <v>264</v>
      </c>
      <c r="Q11" s="123">
        <v>6.3100000000000003E-2</v>
      </c>
      <c r="R11" s="131" t="s">
        <v>272</v>
      </c>
    </row>
    <row r="13" spans="1:18" ht="18" customHeight="1" x14ac:dyDescent="0.25">
      <c r="A13" s="167" t="s">
        <v>225</v>
      </c>
      <c r="B13" s="167"/>
      <c r="C13" s="167"/>
      <c r="D13" s="167"/>
      <c r="E13" s="167"/>
      <c r="F13" s="167"/>
      <c r="G13" s="167"/>
      <c r="H13" s="167"/>
      <c r="I13" s="167"/>
      <c r="J13" s="167"/>
      <c r="K13" s="167"/>
      <c r="L13" s="167"/>
      <c r="M13" s="167"/>
      <c r="N13" s="167"/>
      <c r="O13" s="167"/>
      <c r="P13" s="167"/>
      <c r="Q13" s="167"/>
      <c r="R13" s="167"/>
    </row>
    <row r="14" spans="1:18" ht="31.5" customHeight="1" x14ac:dyDescent="0.25">
      <c r="A14" s="90" t="s">
        <v>226</v>
      </c>
      <c r="B14" s="90" t="s">
        <v>227</v>
      </c>
      <c r="C14" s="90" t="s">
        <v>228</v>
      </c>
      <c r="D14" s="90" t="s">
        <v>229</v>
      </c>
      <c r="E14" s="90" t="s">
        <v>230</v>
      </c>
      <c r="F14" s="90" t="s">
        <v>231</v>
      </c>
      <c r="G14" s="90" t="s">
        <v>232</v>
      </c>
      <c r="H14" s="143" t="s">
        <v>283</v>
      </c>
      <c r="I14" s="143" t="s">
        <v>282</v>
      </c>
      <c r="J14" s="143" t="s">
        <v>284</v>
      </c>
      <c r="K14" s="143" t="s">
        <v>275</v>
      </c>
    </row>
    <row r="15" spans="1:18" ht="30" customHeight="1" x14ac:dyDescent="0.25">
      <c r="A15" s="79" t="s">
        <v>233</v>
      </c>
      <c r="B15" s="99">
        <f>M6</f>
        <v>20.7</v>
      </c>
      <c r="C15" s="109">
        <f>M7</f>
        <v>20.2</v>
      </c>
      <c r="D15" s="109" t="str">
        <f>M8</f>
        <v>24.2x</v>
      </c>
      <c r="E15" s="109" t="str">
        <f>M9</f>
        <v>13.6x</v>
      </c>
      <c r="F15" s="109">
        <f t="shared" ref="F15:F21" si="0">AVERAGE(B15,C15,D15)</f>
        <v>20.45</v>
      </c>
      <c r="G15" s="109">
        <f t="shared" ref="G15:G21" si="1">MEDIAN(B15,C15,D15)</f>
        <v>20.45</v>
      </c>
      <c r="H15" s="150" t="str">
        <f>"AJBL EPS: " &amp; Historicals!E18&amp;"p"</f>
        <v>AJBL EPS: 25.56p</v>
      </c>
      <c r="I15" s="148">
        <f>'Comps Table'!G15*Historicals!E18</f>
        <v>522.702</v>
      </c>
      <c r="J15" s="153">
        <f>(I15/D6)-1</f>
        <v>-0.13887644151565071</v>
      </c>
      <c r="K15" s="133" t="s">
        <v>285</v>
      </c>
    </row>
    <row r="16" spans="1:18" ht="30" customHeight="1" x14ac:dyDescent="0.25">
      <c r="A16" s="101" t="s">
        <v>234</v>
      </c>
      <c r="B16" s="92" t="str">
        <f>N6</f>
        <v>20.6x</v>
      </c>
      <c r="C16" s="109">
        <f>N7</f>
        <v>17.8</v>
      </c>
      <c r="D16" s="109" t="str">
        <f>N8</f>
        <v>16.5x</v>
      </c>
      <c r="E16" s="109" t="str">
        <f>N9</f>
        <v>17.0x</v>
      </c>
      <c r="F16" s="109">
        <f t="shared" si="0"/>
        <v>17.8</v>
      </c>
      <c r="G16" s="109">
        <f t="shared" si="1"/>
        <v>17.8</v>
      </c>
      <c r="H16" s="150" t="str">
        <f>"AJBL EPS: " &amp; Historicals!E18&amp;"p"</f>
        <v>AJBL EPS: 25.56p</v>
      </c>
      <c r="I16" s="148">
        <f>'Comps Table'!G16*Historicals!E18</f>
        <v>454.96800000000002</v>
      </c>
      <c r="J16" s="153">
        <f>(I16/D6)-1</f>
        <v>-0.25046457990115323</v>
      </c>
      <c r="K16" s="132" t="s">
        <v>286</v>
      </c>
    </row>
    <row r="17" spans="1:18" ht="30" customHeight="1" x14ac:dyDescent="0.25">
      <c r="A17" s="101" t="s">
        <v>236</v>
      </c>
      <c r="B17" s="99">
        <f>O6</f>
        <v>6.6642692750287686</v>
      </c>
      <c r="C17" s="109">
        <f>O7</f>
        <v>6.0460606060606059</v>
      </c>
      <c r="D17" s="109" t="str">
        <f>O8</f>
        <v>0.1x</v>
      </c>
      <c r="E17" s="103" t="str">
        <f>O9</f>
        <v>0.2x</v>
      </c>
      <c r="F17" s="109">
        <f t="shared" si="0"/>
        <v>6.3551649405446877</v>
      </c>
      <c r="G17" s="109">
        <f t="shared" si="1"/>
        <v>6.3551649405446877</v>
      </c>
      <c r="H17" s="132" t="str">
        <f>"AJBL Rev: "&amp;H6&amp;"m"</f>
        <v>AJBL Rev: 347.6m</v>
      </c>
      <c r="I17" s="148">
        <f>((G17*H6)+F6)/Assumptions!B23*100</f>
        <v>574.93430981130189</v>
      </c>
      <c r="J17" s="153">
        <f>(I17/D6)-1</f>
        <v>-5.2826507724379135E-2</v>
      </c>
      <c r="K17" s="132" t="s">
        <v>288</v>
      </c>
    </row>
    <row r="18" spans="1:18" ht="30" customHeight="1" x14ac:dyDescent="0.25">
      <c r="A18" s="101" t="s">
        <v>237</v>
      </c>
      <c r="B18" s="125">
        <f>I6</f>
        <v>0.19339999999999999</v>
      </c>
      <c r="C18" s="124">
        <f>I7</f>
        <v>9.0300000000000005E-2</v>
      </c>
      <c r="D18" s="124">
        <f>I8</f>
        <v>0.71850000000000003</v>
      </c>
      <c r="E18" s="124">
        <f>I9</f>
        <v>0.16120000000000001</v>
      </c>
      <c r="F18" s="124">
        <f t="shared" si="0"/>
        <v>0.33406666666666668</v>
      </c>
      <c r="G18" s="124">
        <f t="shared" si="1"/>
        <v>0.19339999999999999</v>
      </c>
      <c r="H18" s="151" t="s">
        <v>281</v>
      </c>
      <c r="I18" s="149" t="s">
        <v>281</v>
      </c>
      <c r="J18" s="132"/>
      <c r="K18" s="132" t="s">
        <v>274</v>
      </c>
    </row>
    <row r="19" spans="1:18" ht="30" customHeight="1" x14ac:dyDescent="0.25">
      <c r="A19" s="134" t="s">
        <v>212</v>
      </c>
      <c r="B19" s="99">
        <f>P6</f>
        <v>14.615141955835963</v>
      </c>
      <c r="C19" s="136">
        <f>P7</f>
        <v>11.6</v>
      </c>
      <c r="D19" s="136" t="str">
        <f>P8</f>
        <v>3.5x</v>
      </c>
      <c r="E19" s="136" t="str">
        <f>P9</f>
        <v>5.2x</v>
      </c>
      <c r="F19" s="135">
        <f t="shared" si="0"/>
        <v>13.10757097791798</v>
      </c>
      <c r="G19" s="135">
        <f t="shared" si="1"/>
        <v>13.10757097791798</v>
      </c>
      <c r="H19" s="132" t="str">
        <f>"AJBL EBITDA: "&amp;J6&amp;"m"</f>
        <v>AJBL EBITDA: 158.5m</v>
      </c>
      <c r="I19" s="148">
        <f>((G19*J6)+F6)/Assumptions!B23*100</f>
        <v>542.95919508648728</v>
      </c>
      <c r="J19" s="154">
        <f>(I19/D6)-1</f>
        <v>-0.10550379722160252</v>
      </c>
      <c r="K19" s="132" t="s">
        <v>287</v>
      </c>
    </row>
    <row r="20" spans="1:18" ht="30" customHeight="1" x14ac:dyDescent="0.25">
      <c r="A20" s="101" t="s">
        <v>238</v>
      </c>
      <c r="B20" s="97">
        <f>K6</f>
        <v>0.45600000000000002</v>
      </c>
      <c r="C20" s="106">
        <f>K7</f>
        <v>0.78959999999999997</v>
      </c>
      <c r="D20" s="106">
        <f>K8</f>
        <v>3.8699999999999998E-2</v>
      </c>
      <c r="E20" s="106">
        <f>K9</f>
        <v>4.3400000000000001E-2</v>
      </c>
      <c r="F20" s="124">
        <f t="shared" si="0"/>
        <v>0.42809999999999998</v>
      </c>
      <c r="G20" s="124">
        <f t="shared" si="1"/>
        <v>0.45600000000000002</v>
      </c>
      <c r="H20" s="151" t="s">
        <v>281</v>
      </c>
      <c r="I20" s="149" t="s">
        <v>281</v>
      </c>
      <c r="J20" s="132"/>
      <c r="K20" s="132" t="s">
        <v>273</v>
      </c>
    </row>
    <row r="21" spans="1:18" ht="30" customHeight="1" x14ac:dyDescent="0.25">
      <c r="A21" s="101" t="s">
        <v>239</v>
      </c>
      <c r="B21" s="97">
        <f>Q6</f>
        <v>2.35E-2</v>
      </c>
      <c r="C21" s="108">
        <f>Q7</f>
        <v>3.0599999999999999E-2</v>
      </c>
      <c r="D21" s="108">
        <f>Q8</f>
        <v>3.0300000000000001E-2</v>
      </c>
      <c r="E21" s="106">
        <f>Q9</f>
        <v>1.37E-2</v>
      </c>
      <c r="F21" s="124">
        <f t="shared" si="0"/>
        <v>2.8133333333333333E-2</v>
      </c>
      <c r="G21" s="124">
        <f t="shared" si="1"/>
        <v>3.0300000000000001E-2</v>
      </c>
      <c r="H21" s="152" t="s">
        <v>281</v>
      </c>
      <c r="I21" s="149" t="s">
        <v>281</v>
      </c>
      <c r="J21" s="126"/>
      <c r="K21" s="126" t="s">
        <v>268</v>
      </c>
    </row>
    <row r="22" spans="1:18" ht="30" customHeight="1" x14ac:dyDescent="0.25">
      <c r="A22" s="137"/>
      <c r="B22" s="142"/>
      <c r="C22" s="138"/>
      <c r="D22" s="138"/>
      <c r="E22" s="139"/>
      <c r="F22" s="140"/>
      <c r="G22" s="140"/>
      <c r="H22" s="141"/>
    </row>
    <row r="24" spans="1:18" ht="18" customHeight="1" x14ac:dyDescent="0.25">
      <c r="A24" s="167" t="s">
        <v>240</v>
      </c>
      <c r="B24" s="167"/>
      <c r="C24" s="167"/>
      <c r="D24" s="167"/>
      <c r="E24" s="167"/>
      <c r="F24" s="167"/>
      <c r="G24" s="167"/>
      <c r="H24" s="167"/>
      <c r="I24" s="167"/>
      <c r="J24" s="167"/>
      <c r="K24" s="167"/>
      <c r="L24" s="167"/>
      <c r="M24" s="167"/>
      <c r="N24" s="167"/>
      <c r="O24" s="167"/>
      <c r="P24" s="167"/>
      <c r="Q24" s="167"/>
      <c r="R24" s="167"/>
    </row>
    <row r="25" spans="1:18" ht="18" customHeight="1" x14ac:dyDescent="0.25">
      <c r="A25" s="155" t="s">
        <v>292</v>
      </c>
      <c r="B25" s="127"/>
      <c r="C25" s="127"/>
      <c r="D25" s="127"/>
      <c r="E25" s="127"/>
      <c r="F25" s="127"/>
      <c r="G25" s="127"/>
      <c r="H25" s="127"/>
      <c r="I25" s="127"/>
      <c r="J25" s="127"/>
      <c r="K25" s="127"/>
      <c r="L25" s="127"/>
      <c r="M25" s="127"/>
      <c r="N25" s="127"/>
      <c r="O25" s="127"/>
      <c r="P25" s="127"/>
      <c r="Q25" s="127"/>
      <c r="R25" s="127"/>
    </row>
    <row r="26" spans="1:18" ht="18" customHeight="1" x14ac:dyDescent="0.25">
      <c r="A26" s="172" t="s">
        <v>313</v>
      </c>
      <c r="B26" s="172"/>
      <c r="C26" s="172"/>
      <c r="D26" s="172"/>
      <c r="E26" s="172"/>
      <c r="F26" s="172"/>
      <c r="G26" s="172"/>
      <c r="H26" s="172"/>
      <c r="I26" s="172"/>
      <c r="J26" s="172"/>
      <c r="K26" s="172"/>
      <c r="L26" s="172"/>
      <c r="M26" s="172"/>
      <c r="N26" s="172"/>
      <c r="O26" s="172"/>
      <c r="P26" s="172"/>
      <c r="Q26" s="156"/>
      <c r="R26" s="156"/>
    </row>
    <row r="27" spans="1:18" ht="15.75" customHeight="1" x14ac:dyDescent="0.25">
      <c r="A27" s="170" t="s">
        <v>289</v>
      </c>
      <c r="B27" s="167"/>
      <c r="C27" s="167"/>
      <c r="D27" s="167"/>
      <c r="E27" s="167"/>
      <c r="F27" s="167"/>
      <c r="G27" s="167"/>
      <c r="H27" s="167"/>
      <c r="I27" s="167"/>
      <c r="J27" s="167"/>
      <c r="K27" s="167"/>
      <c r="L27" s="167"/>
      <c r="M27" s="167"/>
      <c r="N27" s="167"/>
      <c r="O27" s="167"/>
      <c r="P27" s="167"/>
      <c r="Q27" s="167"/>
      <c r="R27" s="167"/>
    </row>
    <row r="28" spans="1:18" ht="39.75" customHeight="1" x14ac:dyDescent="0.25">
      <c r="A28" s="174" t="s">
        <v>265</v>
      </c>
      <c r="B28" s="174"/>
      <c r="C28" s="174"/>
      <c r="D28" s="174"/>
      <c r="E28" s="174"/>
      <c r="F28" s="174"/>
      <c r="G28" s="174"/>
      <c r="H28" s="174"/>
      <c r="I28" s="174"/>
      <c r="J28" s="174"/>
      <c r="K28" s="174"/>
      <c r="L28" s="174"/>
      <c r="M28" s="174"/>
      <c r="N28" s="174"/>
      <c r="O28" s="174"/>
      <c r="P28" s="174"/>
      <c r="Q28" s="174"/>
      <c r="R28" s="174"/>
    </row>
    <row r="29" spans="1:18" ht="15.75" customHeight="1" x14ac:dyDescent="0.25">
      <c r="A29" s="170" t="s">
        <v>290</v>
      </c>
      <c r="B29" s="167"/>
      <c r="C29" s="167"/>
      <c r="D29" s="167"/>
      <c r="E29" s="167"/>
      <c r="F29" s="167"/>
      <c r="G29" s="167"/>
      <c r="H29" s="167"/>
      <c r="I29" s="167"/>
      <c r="J29" s="167"/>
      <c r="K29" s="167"/>
      <c r="L29" s="167"/>
      <c r="M29" s="167"/>
      <c r="N29" s="167"/>
      <c r="O29" s="167"/>
      <c r="P29" s="167"/>
      <c r="Q29" s="167"/>
      <c r="R29" s="167"/>
    </row>
    <row r="30" spans="1:18" ht="39.75" customHeight="1" x14ac:dyDescent="0.25">
      <c r="A30" s="173" t="s">
        <v>266</v>
      </c>
      <c r="B30" s="174"/>
      <c r="C30" s="174"/>
      <c r="D30" s="174"/>
      <c r="E30" s="174"/>
      <c r="F30" s="174"/>
      <c r="G30" s="174"/>
      <c r="H30" s="174"/>
      <c r="I30" s="174"/>
      <c r="J30" s="174"/>
      <c r="K30" s="174"/>
      <c r="L30" s="174"/>
      <c r="M30" s="174"/>
      <c r="N30" s="174"/>
      <c r="O30" s="174"/>
      <c r="P30" s="174"/>
      <c r="Q30" s="174"/>
      <c r="R30" s="174"/>
    </row>
    <row r="31" spans="1:18" ht="22.5" customHeight="1" x14ac:dyDescent="0.25">
      <c r="A31" s="170" t="s">
        <v>291</v>
      </c>
      <c r="B31" s="167"/>
      <c r="C31" s="167"/>
      <c r="D31" s="167"/>
      <c r="E31" s="167"/>
      <c r="F31" s="167"/>
      <c r="G31" s="167"/>
      <c r="H31" s="167"/>
      <c r="I31" s="167"/>
      <c r="J31" s="167"/>
      <c r="K31" s="167"/>
      <c r="L31" s="167"/>
      <c r="M31" s="167"/>
      <c r="N31" s="167"/>
      <c r="O31" s="167"/>
      <c r="P31" s="167"/>
      <c r="Q31" s="167"/>
      <c r="R31" s="167"/>
    </row>
    <row r="32" spans="1:18" ht="39.75" customHeight="1" x14ac:dyDescent="0.25">
      <c r="A32" s="173" t="s">
        <v>267</v>
      </c>
      <c r="B32" s="174"/>
      <c r="C32" s="174"/>
      <c r="D32" s="174"/>
      <c r="E32" s="174"/>
      <c r="F32" s="174"/>
      <c r="G32" s="174"/>
      <c r="H32" s="174"/>
      <c r="I32" s="174"/>
      <c r="J32" s="174"/>
      <c r="K32" s="174"/>
      <c r="L32" s="174"/>
      <c r="M32" s="174"/>
      <c r="N32" s="174"/>
      <c r="O32" s="174"/>
      <c r="P32" s="174"/>
      <c r="Q32" s="174"/>
      <c r="R32" s="174"/>
    </row>
    <row r="33" spans="1:18" ht="15.75" customHeight="1" x14ac:dyDescent="0.25">
      <c r="A33" s="175"/>
      <c r="B33" s="175"/>
      <c r="C33" s="175"/>
      <c r="D33" s="175"/>
      <c r="E33" s="175"/>
      <c r="F33" s="175"/>
      <c r="G33" s="175"/>
      <c r="H33" s="175"/>
      <c r="I33" s="175"/>
      <c r="J33" s="175"/>
      <c r="K33" s="175"/>
      <c r="L33" s="175"/>
      <c r="M33" s="175"/>
      <c r="N33" s="175"/>
      <c r="O33" s="175"/>
      <c r="P33" s="175"/>
      <c r="Q33" s="175"/>
      <c r="R33" s="175"/>
    </row>
    <row r="34" spans="1:18" ht="39.75" customHeight="1" x14ac:dyDescent="0.25">
      <c r="A34" s="175"/>
      <c r="B34" s="175"/>
      <c r="C34" s="175"/>
      <c r="D34" s="175"/>
      <c r="E34" s="175"/>
      <c r="F34" s="175"/>
      <c r="G34" s="175"/>
      <c r="H34" s="175"/>
      <c r="I34" s="175"/>
      <c r="J34" s="175"/>
      <c r="K34" s="175"/>
      <c r="L34" s="175"/>
      <c r="M34" s="175"/>
      <c r="N34" s="175"/>
      <c r="O34" s="175"/>
      <c r="P34" s="175"/>
      <c r="Q34" s="175"/>
      <c r="R34" s="175"/>
    </row>
    <row r="36" spans="1:18" ht="36" customHeight="1" x14ac:dyDescent="0.25">
      <c r="A36" s="176"/>
      <c r="B36" s="176"/>
      <c r="C36" s="176"/>
      <c r="D36" s="176"/>
      <c r="E36" s="176"/>
      <c r="F36" s="176"/>
      <c r="G36" s="176"/>
      <c r="H36" s="176"/>
      <c r="I36" s="176"/>
      <c r="J36" s="176"/>
      <c r="K36" s="176"/>
      <c r="L36" s="176"/>
      <c r="M36" s="176"/>
      <c r="N36" s="176"/>
      <c r="O36" s="176"/>
      <c r="P36" s="176"/>
      <c r="Q36" s="176"/>
      <c r="R36" s="176"/>
    </row>
  </sheetData>
  <mergeCells count="15">
    <mergeCell ref="A32:R32"/>
    <mergeCell ref="A33:R33"/>
    <mergeCell ref="A34:R34"/>
    <mergeCell ref="A36:R36"/>
    <mergeCell ref="A28:R28"/>
    <mergeCell ref="A29:R29"/>
    <mergeCell ref="A30:R30"/>
    <mergeCell ref="A31:R31"/>
    <mergeCell ref="A27:R27"/>
    <mergeCell ref="A1:R1"/>
    <mergeCell ref="A2:R2"/>
    <mergeCell ref="A4:R4"/>
    <mergeCell ref="A13:R13"/>
    <mergeCell ref="A24:R24"/>
    <mergeCell ref="A26:P2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0"/>
  <sheetViews>
    <sheetView showGridLines="0" zoomScale="80" zoomScaleNormal="80" workbookViewId="0">
      <pane xSplit="1" ySplit="2" topLeftCell="B26" activePane="bottomRight" state="frozen"/>
      <selection pane="topRight" activeCell="B1" sqref="B1"/>
      <selection pane="bottomLeft" activeCell="A3" sqref="A3"/>
      <selection pane="bottomRight" activeCell="A51" sqref="A51"/>
    </sheetView>
  </sheetViews>
  <sheetFormatPr defaultColWidth="8.7109375" defaultRowHeight="15" x14ac:dyDescent="0.25"/>
  <cols>
    <col min="1" max="1" width="38" customWidth="1"/>
    <col min="2" max="7" width="14" customWidth="1"/>
    <col min="8" max="8" width="28" customWidth="1"/>
  </cols>
  <sheetData>
    <row r="1" spans="1:8" ht="27.75" customHeight="1" x14ac:dyDescent="0.25">
      <c r="A1" s="164" t="s">
        <v>97</v>
      </c>
      <c r="B1" s="164"/>
      <c r="C1" s="164"/>
      <c r="D1" s="164"/>
      <c r="E1" s="164"/>
      <c r="F1" s="164"/>
      <c r="G1" s="164"/>
      <c r="H1" s="164"/>
    </row>
    <row r="2" spans="1:8" ht="24" customHeight="1" x14ac:dyDescent="0.25">
      <c r="A2" s="21" t="s">
        <v>52</v>
      </c>
      <c r="B2" s="22" t="s">
        <v>28</v>
      </c>
      <c r="C2" s="22" t="s">
        <v>29</v>
      </c>
      <c r="D2" s="22" t="s">
        <v>30</v>
      </c>
      <c r="E2" s="22" t="s">
        <v>31</v>
      </c>
      <c r="F2" s="22" t="s">
        <v>32</v>
      </c>
      <c r="G2" s="34" t="s">
        <v>98</v>
      </c>
      <c r="H2" s="21" t="s">
        <v>99</v>
      </c>
    </row>
    <row r="3" spans="1:8" ht="15" customHeight="1" x14ac:dyDescent="0.25">
      <c r="A3" s="163" t="s">
        <v>100</v>
      </c>
      <c r="B3" s="163"/>
      <c r="C3" s="163"/>
      <c r="D3" s="163"/>
      <c r="E3" s="163"/>
      <c r="F3" s="163"/>
      <c r="G3" s="163"/>
      <c r="H3" s="163"/>
    </row>
    <row r="4" spans="1:8" ht="15" customHeight="1" x14ac:dyDescent="0.25">
      <c r="A4" s="23" t="s">
        <v>101</v>
      </c>
      <c r="B4" s="39">
        <v>103.3</v>
      </c>
      <c r="C4" s="39">
        <f>B4*(1+Assumptions!B4)</f>
        <v>117.76200000000001</v>
      </c>
      <c r="D4" s="39">
        <f>C4*(1+Assumptions!C4)</f>
        <v>131.89344000000003</v>
      </c>
      <c r="E4" s="39">
        <f>D4*(1+Assumptions!D4)</f>
        <v>146.40171840000005</v>
      </c>
      <c r="F4" s="39">
        <f>E4*(1+Assumptions!E4)</f>
        <v>161.04189024000007</v>
      </c>
      <c r="G4" s="25"/>
      <c r="H4" s="35" t="s">
        <v>160</v>
      </c>
    </row>
    <row r="5" spans="1:8" ht="15" customHeight="1" x14ac:dyDescent="0.25">
      <c r="A5" s="23" t="s">
        <v>102</v>
      </c>
      <c r="B5" s="24">
        <f>Assumptions!B4</f>
        <v>0.14000000000000001</v>
      </c>
      <c r="C5" s="24">
        <f>Assumptions!C4</f>
        <v>0.12</v>
      </c>
      <c r="D5" s="24">
        <f>Assumptions!D4</f>
        <v>0.11</v>
      </c>
      <c r="E5" s="24">
        <f>Assumptions!E4</f>
        <v>0.1</v>
      </c>
      <c r="F5" s="24">
        <f>Assumptions!F4</f>
        <v>0.09</v>
      </c>
      <c r="G5" s="25"/>
      <c r="H5" s="35" t="s">
        <v>103</v>
      </c>
    </row>
    <row r="6" spans="1:8" ht="15" customHeight="1" x14ac:dyDescent="0.25">
      <c r="A6" s="23" t="s">
        <v>104</v>
      </c>
      <c r="B6" s="39">
        <f>B4*(1+B5)</f>
        <v>117.76200000000001</v>
      </c>
      <c r="C6" s="39">
        <f>C4*(1+C5)</f>
        <v>131.89344000000003</v>
      </c>
      <c r="D6" s="39">
        <f>D4*(1+D5)</f>
        <v>146.40171840000005</v>
      </c>
      <c r="E6" s="39">
        <f>E4*(1+E5)</f>
        <v>161.04189024000007</v>
      </c>
      <c r="F6" s="39">
        <f>F4*(1+F5)</f>
        <v>175.53566036160009</v>
      </c>
      <c r="G6" s="25"/>
      <c r="H6" s="41"/>
    </row>
    <row r="7" spans="1:8" ht="15" customHeight="1" x14ac:dyDescent="0.25">
      <c r="A7" s="23" t="s">
        <v>105</v>
      </c>
      <c r="B7" s="26">
        <f>Assumptions!B5</f>
        <v>33.200000000000003</v>
      </c>
      <c r="C7" s="26">
        <f>Assumptions!C5</f>
        <v>33</v>
      </c>
      <c r="D7" s="26">
        <f>Assumptions!D5</f>
        <v>32.799999999999997</v>
      </c>
      <c r="E7" s="26">
        <f>Assumptions!E5</f>
        <v>32.5</v>
      </c>
      <c r="F7" s="26">
        <f>Assumptions!F5</f>
        <v>32.299999999999997</v>
      </c>
      <c r="G7" s="25"/>
      <c r="H7" s="35" t="s">
        <v>106</v>
      </c>
    </row>
    <row r="8" spans="1:8" ht="15" customHeight="1" x14ac:dyDescent="0.25">
      <c r="A8" s="42" t="s">
        <v>107</v>
      </c>
      <c r="B8" s="43">
        <f>(B4+B6)/2*B7/10000*1000000</f>
        <v>366962.92000000004</v>
      </c>
      <c r="C8" s="43">
        <f>(C4+C6)/2*C7/10000*1000000</f>
        <v>411931.47600000014</v>
      </c>
      <c r="D8" s="43">
        <f>(D4+D6)/2*D7/10000*1000000</f>
        <v>456404.05977600015</v>
      </c>
      <c r="E8" s="43">
        <f>(E4+E6)/2*E7/10000*1000000</f>
        <v>499595.86404000019</v>
      </c>
      <c r="F8" s="43">
        <f>(F4+F6)/2*F7/10000*1000000</f>
        <v>543572.74422158417</v>
      </c>
      <c r="G8" s="37">
        <f>(F8/B8)^(1/4)-1</f>
        <v>0.10321173372608539</v>
      </c>
      <c r="H8" s="35" t="s">
        <v>309</v>
      </c>
    </row>
    <row r="9" spans="1:8" ht="15" customHeight="1" x14ac:dyDescent="0.25">
      <c r="A9" s="23" t="s">
        <v>161</v>
      </c>
      <c r="B9" s="44">
        <f>B8*Assumptions!B6</f>
        <v>59814.955960000007</v>
      </c>
      <c r="C9" s="44">
        <f>C8*Assumptions!C6</f>
        <v>63849.378780000021</v>
      </c>
      <c r="D9" s="44">
        <f>D8*Assumptions!D6</f>
        <v>68460.608966400017</v>
      </c>
      <c r="E9" s="44">
        <f>E8*Assumptions!E6</f>
        <v>73940.18787792002</v>
      </c>
      <c r="F9" s="44">
        <f>F8*Assumptions!F6</f>
        <v>79905.193400572869</v>
      </c>
      <c r="G9" s="37"/>
      <c r="H9" s="35"/>
    </row>
    <row r="10" spans="1:8" ht="15" customHeight="1" x14ac:dyDescent="0.25">
      <c r="A10" s="23" t="s">
        <v>162</v>
      </c>
      <c r="B10" s="44">
        <f>B8-B9</f>
        <v>307147.96404000005</v>
      </c>
      <c r="C10" s="44">
        <f t="shared" ref="C10:F10" si="0">C8-C9</f>
        <v>348082.09722000011</v>
      </c>
      <c r="D10" s="44">
        <f t="shared" si="0"/>
        <v>387943.45080960012</v>
      </c>
      <c r="E10" s="44">
        <f t="shared" si="0"/>
        <v>425655.67616208014</v>
      </c>
      <c r="F10" s="44">
        <f t="shared" si="0"/>
        <v>463667.5508210113</v>
      </c>
      <c r="G10" s="37"/>
      <c r="H10" s="35"/>
    </row>
    <row r="11" spans="1:8" x14ac:dyDescent="0.25">
      <c r="A11" s="25"/>
      <c r="B11" s="25"/>
      <c r="C11" s="25"/>
      <c r="D11" s="25"/>
      <c r="E11" s="25"/>
      <c r="F11" s="25"/>
      <c r="G11" s="25"/>
      <c r="H11" s="25"/>
    </row>
    <row r="12" spans="1:8" ht="15" customHeight="1" x14ac:dyDescent="0.25">
      <c r="A12" s="163" t="s">
        <v>108</v>
      </c>
      <c r="B12" s="163"/>
      <c r="C12" s="163"/>
      <c r="D12" s="163"/>
      <c r="E12" s="163"/>
      <c r="F12" s="163"/>
      <c r="G12" s="163"/>
      <c r="H12" s="163"/>
    </row>
    <row r="13" spans="1:8" ht="15" customHeight="1" x14ac:dyDescent="0.25">
      <c r="A13" s="23" t="s">
        <v>39</v>
      </c>
      <c r="B13" s="27">
        <f>Assumptions!B9</f>
        <v>0.43</v>
      </c>
      <c r="C13" s="27">
        <f>Assumptions!C9</f>
        <v>0.435</v>
      </c>
      <c r="D13" s="27">
        <f>Assumptions!D9</f>
        <v>0.438</v>
      </c>
      <c r="E13" s="27">
        <f>Assumptions!E9</f>
        <v>0.44</v>
      </c>
      <c r="F13" s="27">
        <f>Assumptions!F9</f>
        <v>0.442</v>
      </c>
      <c r="G13" s="25"/>
      <c r="H13" s="35" t="s">
        <v>163</v>
      </c>
    </row>
    <row r="14" spans="1:8" ht="15" customHeight="1" x14ac:dyDescent="0.25">
      <c r="A14" s="42" t="s">
        <v>109</v>
      </c>
      <c r="B14" s="44">
        <f>B8*B13</f>
        <v>157794.05560000002</v>
      </c>
      <c r="C14" s="44">
        <f>C8*C13</f>
        <v>179190.19206000006</v>
      </c>
      <c r="D14" s="44">
        <f>D8*D13</f>
        <v>199904.97818188806</v>
      </c>
      <c r="E14" s="44">
        <f>E8*E13</f>
        <v>219822.18017760009</v>
      </c>
      <c r="F14" s="44">
        <f>F8*F13</f>
        <v>240259.15294594021</v>
      </c>
      <c r="G14" s="25"/>
      <c r="H14" s="25"/>
    </row>
    <row r="15" spans="1:8" ht="15" customHeight="1" x14ac:dyDescent="0.25">
      <c r="A15" s="42" t="s">
        <v>184</v>
      </c>
      <c r="B15" s="44">
        <f>B14+B20</f>
        <v>162564.57356000002</v>
      </c>
      <c r="C15" s="44">
        <f t="shared" ref="C15:F15" si="1">C14+C20</f>
        <v>184545.30124800006</v>
      </c>
      <c r="D15" s="44">
        <f t="shared" si="1"/>
        <v>205381.82689920007</v>
      </c>
      <c r="E15" s="44">
        <f t="shared" si="1"/>
        <v>225817.33054608011</v>
      </c>
      <c r="F15" s="44">
        <f t="shared" si="1"/>
        <v>246782.02587659922</v>
      </c>
      <c r="G15" s="25"/>
      <c r="H15" s="25" t="s">
        <v>185</v>
      </c>
    </row>
    <row r="16" spans="1:8" ht="15" customHeight="1" x14ac:dyDescent="0.25">
      <c r="A16" s="23" t="s">
        <v>110</v>
      </c>
      <c r="B16" s="28">
        <f>-B14*Assumptions!B10</f>
        <v>-39448.513900000005</v>
      </c>
      <c r="C16" s="28">
        <f>-C14*Assumptions!C10</f>
        <v>-44797.548015000015</v>
      </c>
      <c r="D16" s="28">
        <f>-D14*Assumptions!D10</f>
        <v>-49976.244545472015</v>
      </c>
      <c r="E16" s="28">
        <f>-E14*Assumptions!E10</f>
        <v>-54955.545044400023</v>
      </c>
      <c r="F16" s="28">
        <f>-F14*Assumptions!F10</f>
        <v>-60064.788236485052</v>
      </c>
      <c r="G16" s="25"/>
      <c r="H16" s="25"/>
    </row>
    <row r="17" spans="1:8" ht="15" customHeight="1" x14ac:dyDescent="0.25">
      <c r="A17" s="42" t="s">
        <v>164</v>
      </c>
      <c r="B17" s="43">
        <f>B14+B16</f>
        <v>118345.54170000002</v>
      </c>
      <c r="C17" s="43">
        <f>C14+C16</f>
        <v>134392.64404500005</v>
      </c>
      <c r="D17" s="43">
        <f>D14+D16</f>
        <v>149928.73363641603</v>
      </c>
      <c r="E17" s="43">
        <f>E14+E16</f>
        <v>164866.63513320006</v>
      </c>
      <c r="F17" s="43">
        <f>F14+F16</f>
        <v>180194.36470945517</v>
      </c>
      <c r="G17" s="25"/>
      <c r="H17" s="41" t="s">
        <v>165</v>
      </c>
    </row>
    <row r="18" spans="1:8" x14ac:dyDescent="0.25">
      <c r="A18" s="25"/>
      <c r="B18" s="25"/>
      <c r="C18" s="25"/>
      <c r="D18" s="25"/>
      <c r="E18" s="25"/>
      <c r="F18" s="25"/>
      <c r="G18" s="25"/>
      <c r="H18" s="25"/>
    </row>
    <row r="19" spans="1:8" ht="15" customHeight="1" x14ac:dyDescent="0.25">
      <c r="A19" s="163" t="s">
        <v>111</v>
      </c>
      <c r="B19" s="163"/>
      <c r="C19" s="163"/>
      <c r="D19" s="163"/>
      <c r="E19" s="163"/>
      <c r="F19" s="163"/>
      <c r="G19" s="163"/>
      <c r="H19" s="163"/>
    </row>
    <row r="20" spans="1:8" ht="15" customHeight="1" x14ac:dyDescent="0.25">
      <c r="A20" s="23" t="s">
        <v>112</v>
      </c>
      <c r="B20" s="28">
        <f>B8*Assumptions!B13</f>
        <v>4770.5179600000001</v>
      </c>
      <c r="C20" s="28">
        <f>C8*Assumptions!C13</f>
        <v>5355.1091880000013</v>
      </c>
      <c r="D20" s="28">
        <f>D8*Assumptions!D13</f>
        <v>5476.848717312002</v>
      </c>
      <c r="E20" s="28">
        <f>E8*Assumptions!E13</f>
        <v>5995.1503684800027</v>
      </c>
      <c r="F20" s="28">
        <f>F8*Assumptions!F13</f>
        <v>6522.8729306590103</v>
      </c>
      <c r="G20" s="25"/>
      <c r="H20" s="35" t="s">
        <v>166</v>
      </c>
    </row>
    <row r="21" spans="1:8" ht="15" customHeight="1" x14ac:dyDescent="0.25">
      <c r="A21" s="23" t="s">
        <v>113</v>
      </c>
      <c r="B21" s="28">
        <f>-B8*Assumptions!B14</f>
        <v>-2935.7033600000004</v>
      </c>
      <c r="C21" s="28">
        <f>-C8*Assumptions!C14</f>
        <v>-3295.4518080000012</v>
      </c>
      <c r="D21" s="28">
        <f>-D8*Assumptions!D14</f>
        <v>-3651.2324782080013</v>
      </c>
      <c r="E21" s="28">
        <f>-E8*Assumptions!E14</f>
        <v>-3996.7669123200017</v>
      </c>
      <c r="F21" s="28">
        <f>-F8*Assumptions!F14</f>
        <v>-4348.5819537726738</v>
      </c>
      <c r="G21" s="25"/>
      <c r="H21" s="35" t="s">
        <v>167</v>
      </c>
    </row>
    <row r="22" spans="1:8" ht="15" customHeight="1" x14ac:dyDescent="0.25">
      <c r="A22" s="23" t="s">
        <v>114</v>
      </c>
      <c r="B22" s="28">
        <f>-B8*Assumptions!B15</f>
        <v>-3669.6292000000003</v>
      </c>
      <c r="C22" s="28">
        <f>-C8*Assumptions!C15</f>
        <v>-3295.4518080000012</v>
      </c>
      <c r="D22" s="28">
        <f>-D8*Assumptions!D15</f>
        <v>-3194.8284184320009</v>
      </c>
      <c r="E22" s="28">
        <f>-E8*Assumptions!E15</f>
        <v>-3497.1710482800013</v>
      </c>
      <c r="F22" s="28">
        <f>-F8*Assumptions!F15</f>
        <v>-3261.4364653295052</v>
      </c>
      <c r="G22" s="25"/>
      <c r="H22" s="35" t="s">
        <v>168</v>
      </c>
    </row>
    <row r="23" spans="1:8" ht="15" customHeight="1" x14ac:dyDescent="0.25">
      <c r="A23" s="42" t="s">
        <v>115</v>
      </c>
      <c r="B23" s="45">
        <f>B17+B20+B21+B22</f>
        <v>116510.72710000002</v>
      </c>
      <c r="C23" s="45">
        <f>C17+C20+C21+C22</f>
        <v>133156.84961700003</v>
      </c>
      <c r="D23" s="45">
        <f>D17+D20+D21+D22</f>
        <v>148559.52145708803</v>
      </c>
      <c r="E23" s="45">
        <f>E17+E20+E21+E22</f>
        <v>163367.84754108009</v>
      </c>
      <c r="F23" s="45">
        <f>F17+F20+F21+F22</f>
        <v>179107.21922101203</v>
      </c>
      <c r="G23" s="37">
        <f>(F23/B23)^(1/4)-1</f>
        <v>0.1134912141966844</v>
      </c>
      <c r="H23" s="25"/>
    </row>
    <row r="24" spans="1:8" x14ac:dyDescent="0.25">
      <c r="A24" s="25"/>
      <c r="B24" s="25"/>
      <c r="C24" s="25"/>
      <c r="D24" s="25"/>
      <c r="E24" s="25"/>
      <c r="F24" s="25"/>
      <c r="G24" s="25"/>
      <c r="H24" s="25"/>
    </row>
    <row r="25" spans="1:8" ht="15" customHeight="1" x14ac:dyDescent="0.25">
      <c r="A25" s="163" t="s">
        <v>116</v>
      </c>
      <c r="B25" s="163"/>
      <c r="C25" s="163"/>
      <c r="D25" s="163"/>
      <c r="E25" s="163"/>
      <c r="F25" s="163"/>
      <c r="G25" s="163"/>
      <c r="H25" s="163"/>
    </row>
    <row r="26" spans="1:8" ht="15" customHeight="1" x14ac:dyDescent="0.25">
      <c r="A26" s="23" t="s">
        <v>170</v>
      </c>
      <c r="B26" s="24">
        <f>WACC!B19</f>
        <v>8.5934999999999984E-2</v>
      </c>
      <c r="C26" s="24">
        <f>WACC!B19</f>
        <v>8.5934999999999984E-2</v>
      </c>
      <c r="D26" s="24">
        <f>WACC!B19</f>
        <v>8.5934999999999984E-2</v>
      </c>
      <c r="E26" s="24">
        <f>WACC!B19</f>
        <v>8.5934999999999984E-2</v>
      </c>
      <c r="F26" s="24">
        <f>WACC!B19</f>
        <v>8.5934999999999984E-2</v>
      </c>
      <c r="G26" s="25"/>
      <c r="H26" s="35" t="s">
        <v>169</v>
      </c>
    </row>
    <row r="27" spans="1:8" ht="15" customHeight="1" x14ac:dyDescent="0.25">
      <c r="A27" s="23" t="s">
        <v>171</v>
      </c>
      <c r="B27" s="46">
        <v>0.5</v>
      </c>
      <c r="C27" s="46">
        <v>1.5</v>
      </c>
      <c r="D27" s="46">
        <v>2.5</v>
      </c>
      <c r="E27" s="46">
        <v>3.5</v>
      </c>
      <c r="F27" s="46">
        <v>4.5</v>
      </c>
      <c r="G27" s="25"/>
      <c r="H27" s="35" t="s">
        <v>310</v>
      </c>
    </row>
    <row r="28" spans="1:8" ht="15" customHeight="1" x14ac:dyDescent="0.25">
      <c r="A28" s="23" t="s">
        <v>117</v>
      </c>
      <c r="B28" s="47">
        <f>1/(1+B26)^B27</f>
        <v>0.95961733484263656</v>
      </c>
      <c r="C28" s="47">
        <f>1/(1+B26)^C27</f>
        <v>0.88367842904284</v>
      </c>
      <c r="D28" s="47">
        <f>1/(1+B26)^D27</f>
        <v>0.81374891595062304</v>
      </c>
      <c r="E28" s="47">
        <f>1/(1+B26)^E27</f>
        <v>0.74935324485408705</v>
      </c>
      <c r="F28" s="47">
        <f>1/(1+B26)^F27</f>
        <v>0.69005349754275069</v>
      </c>
      <c r="G28" s="25"/>
      <c r="H28" s="25"/>
    </row>
    <row r="29" spans="1:8" ht="15" customHeight="1" x14ac:dyDescent="0.25">
      <c r="A29" s="42" t="s">
        <v>118</v>
      </c>
      <c r="B29" s="44">
        <f>B23*B28</f>
        <v>111805.71342027976</v>
      </c>
      <c r="C29" s="44">
        <f>C23*C28</f>
        <v>117667.83568584427</v>
      </c>
      <c r="D29" s="44">
        <f>D23*D28</f>
        <v>120890.14953984872</v>
      </c>
      <c r="E29" s="44">
        <f>E23*E28</f>
        <v>122420.22665973614</v>
      </c>
      <c r="F29" s="44">
        <f>F23*F28</f>
        <v>123593.56305861553</v>
      </c>
      <c r="G29" s="25"/>
      <c r="H29" s="25"/>
    </row>
    <row r="30" spans="1:8" x14ac:dyDescent="0.25">
      <c r="A30" s="25"/>
      <c r="B30" s="25"/>
      <c r="C30" s="25"/>
      <c r="D30" s="25"/>
      <c r="E30" s="25"/>
      <c r="F30" s="25"/>
      <c r="G30" s="25"/>
      <c r="H30" s="25"/>
    </row>
    <row r="31" spans="1:8" ht="15" customHeight="1" x14ac:dyDescent="0.25">
      <c r="A31" s="163" t="s">
        <v>45</v>
      </c>
      <c r="B31" s="163"/>
      <c r="C31" s="163"/>
      <c r="D31" s="163"/>
      <c r="E31" s="163"/>
      <c r="F31" s="163"/>
      <c r="G31" s="163"/>
      <c r="H31" s="163"/>
    </row>
    <row r="32" spans="1:8" ht="15" customHeight="1" x14ac:dyDescent="0.25">
      <c r="A32" s="23" t="s">
        <v>119</v>
      </c>
      <c r="B32" s="27">
        <f>Assumptions!B18</f>
        <v>2.5000000000000001E-2</v>
      </c>
      <c r="C32" s="25"/>
      <c r="D32" s="25"/>
      <c r="E32" s="25"/>
      <c r="F32" s="25"/>
      <c r="G32" s="25"/>
      <c r="H32" s="25"/>
    </row>
    <row r="33" spans="1:8" ht="15" customHeight="1" x14ac:dyDescent="0.25">
      <c r="A33" s="42" t="s">
        <v>120</v>
      </c>
      <c r="B33" s="44">
        <f>F23*(1+B32)/(B26-B32)</f>
        <v>3012798.8791587325</v>
      </c>
      <c r="C33" s="25"/>
      <c r="D33" s="25"/>
      <c r="E33" s="25"/>
      <c r="F33" s="25"/>
      <c r="G33" s="25"/>
      <c r="H33" s="25"/>
    </row>
    <row r="34" spans="1:8" ht="15" customHeight="1" x14ac:dyDescent="0.25">
      <c r="A34" s="42" t="s">
        <v>121</v>
      </c>
      <c r="B34" s="44">
        <f>B33*F28</f>
        <v>2078992.4039563625</v>
      </c>
      <c r="C34" s="25"/>
      <c r="D34" s="25"/>
      <c r="E34" s="25"/>
      <c r="F34" s="25"/>
      <c r="G34" s="25"/>
      <c r="H34" s="25"/>
    </row>
    <row r="35" spans="1:8" ht="15" customHeight="1" x14ac:dyDescent="0.25">
      <c r="A35" s="42" t="s">
        <v>186</v>
      </c>
      <c r="B35" s="67">
        <f>Assumptions!B19</f>
        <v>13</v>
      </c>
      <c r="C35" s="25"/>
      <c r="D35" s="25"/>
      <c r="E35" s="25"/>
      <c r="F35" s="25"/>
      <c r="G35" s="25"/>
      <c r="H35" s="25"/>
    </row>
    <row r="36" spans="1:8" ht="15" customHeight="1" x14ac:dyDescent="0.25">
      <c r="A36" s="42" t="s">
        <v>187</v>
      </c>
      <c r="B36" s="44">
        <f>F15*B35</f>
        <v>3208166.3363957899</v>
      </c>
      <c r="C36" s="25"/>
      <c r="D36" s="25"/>
      <c r="E36" s="25"/>
      <c r="F36" s="25"/>
      <c r="G36" s="25"/>
      <c r="H36" s="25"/>
    </row>
    <row r="37" spans="1:8" x14ac:dyDescent="0.25">
      <c r="A37" s="40" t="s">
        <v>188</v>
      </c>
      <c r="B37" s="44">
        <f>B36*F28</f>
        <v>2213806.4011288276</v>
      </c>
      <c r="C37" s="25"/>
      <c r="D37" s="25"/>
      <c r="E37" s="25"/>
      <c r="F37" s="25"/>
      <c r="G37" s="25"/>
      <c r="H37" s="25"/>
    </row>
    <row r="38" spans="1:8" ht="15" customHeight="1" x14ac:dyDescent="0.25">
      <c r="A38" s="163" t="s">
        <v>193</v>
      </c>
      <c r="B38" s="163"/>
      <c r="C38" s="163"/>
      <c r="D38" s="163"/>
      <c r="E38" s="163"/>
      <c r="F38" s="163"/>
      <c r="G38" s="163"/>
      <c r="H38" s="163"/>
    </row>
    <row r="39" spans="1:8" ht="15" customHeight="1" x14ac:dyDescent="0.25">
      <c r="A39" s="42" t="s">
        <v>122</v>
      </c>
      <c r="B39" s="44">
        <f>SUM(B29:F29)</f>
        <v>596377.48836432444</v>
      </c>
      <c r="C39" s="25"/>
      <c r="D39" s="25"/>
      <c r="E39" s="25"/>
      <c r="F39" s="25"/>
      <c r="G39" s="25"/>
      <c r="H39" s="25"/>
    </row>
    <row r="40" spans="1:8" ht="15" customHeight="1" x14ac:dyDescent="0.25">
      <c r="A40" s="42" t="s">
        <v>189</v>
      </c>
      <c r="B40" s="28">
        <f>B34</f>
        <v>2078992.4039563625</v>
      </c>
      <c r="C40" s="25"/>
      <c r="D40" s="25"/>
      <c r="E40" s="25"/>
      <c r="F40" s="25"/>
      <c r="G40" s="25"/>
      <c r="H40" s="25"/>
    </row>
    <row r="41" spans="1:8" ht="15" customHeight="1" x14ac:dyDescent="0.25">
      <c r="A41" s="42" t="s">
        <v>123</v>
      </c>
      <c r="B41" s="43">
        <f>B39+B40</f>
        <v>2675369.892320687</v>
      </c>
      <c r="C41" s="25"/>
      <c r="D41" s="25"/>
      <c r="E41" s="25"/>
      <c r="F41" s="25"/>
      <c r="G41" s="25"/>
      <c r="H41" s="25"/>
    </row>
    <row r="42" spans="1:8" ht="15" customHeight="1" x14ac:dyDescent="0.25">
      <c r="A42" s="23" t="s">
        <v>124</v>
      </c>
      <c r="B42" s="24">
        <f>B40/B41</f>
        <v>0.77708596853236966</v>
      </c>
      <c r="C42" s="25"/>
      <c r="D42" s="25"/>
      <c r="E42" s="25"/>
      <c r="F42" s="25"/>
      <c r="G42" s="25"/>
      <c r="H42" s="35"/>
    </row>
    <row r="43" spans="1:8" ht="15" customHeight="1" x14ac:dyDescent="0.25">
      <c r="A43" s="23" t="s">
        <v>125</v>
      </c>
      <c r="B43" s="28">
        <f>Assumptions!B22*1000</f>
        <v>188200</v>
      </c>
      <c r="C43" s="25"/>
      <c r="D43" s="25"/>
      <c r="E43" s="25"/>
      <c r="F43" s="25"/>
      <c r="G43" s="25"/>
      <c r="H43" s="25"/>
    </row>
    <row r="44" spans="1:8" ht="15" customHeight="1" x14ac:dyDescent="0.25">
      <c r="A44" s="42" t="s">
        <v>126</v>
      </c>
      <c r="B44" s="43">
        <f>B41+B43</f>
        <v>2863569.892320687</v>
      </c>
      <c r="C44" s="25"/>
      <c r="D44" s="25"/>
      <c r="E44" s="25"/>
      <c r="F44" s="25"/>
      <c r="G44" s="25"/>
      <c r="H44" s="25"/>
    </row>
    <row r="45" spans="1:8" ht="15" customHeight="1" x14ac:dyDescent="0.25">
      <c r="A45" s="23" t="s">
        <v>50</v>
      </c>
      <c r="B45" s="29">
        <f>Assumptions!B23</f>
        <v>411.274</v>
      </c>
      <c r="C45" s="25"/>
      <c r="D45" s="25"/>
      <c r="E45" s="25"/>
      <c r="F45" s="25"/>
      <c r="G45" s="25"/>
      <c r="H45" s="25"/>
    </row>
    <row r="46" spans="1:8" ht="15" customHeight="1" x14ac:dyDescent="0.25">
      <c r="A46" s="42" t="s">
        <v>311</v>
      </c>
      <c r="B46" s="48">
        <f>B44/B45/1000*100</f>
        <v>696.2681551278921</v>
      </c>
      <c r="C46" s="25"/>
      <c r="D46" s="25"/>
      <c r="E46" s="25"/>
      <c r="F46" s="25"/>
      <c r="G46" s="25"/>
      <c r="H46" s="25"/>
    </row>
    <row r="47" spans="1:8" ht="15" customHeight="1" thickTop="1" x14ac:dyDescent="0.25">
      <c r="A47" s="23" t="s">
        <v>183</v>
      </c>
      <c r="B47" s="49">
        <f>Assumptions!B24</f>
        <v>607</v>
      </c>
      <c r="C47" s="25"/>
      <c r="D47" s="25"/>
      <c r="E47" s="25"/>
      <c r="F47" s="25"/>
      <c r="G47" s="25"/>
      <c r="H47" s="25"/>
    </row>
    <row r="48" spans="1:8" ht="15" customHeight="1" x14ac:dyDescent="0.25">
      <c r="A48" s="42" t="s">
        <v>127</v>
      </c>
      <c r="B48" s="50">
        <f>B46/B47-1</f>
        <v>0.14706450597675791</v>
      </c>
      <c r="C48" s="25"/>
      <c r="D48" s="25"/>
      <c r="E48" s="25"/>
      <c r="F48" s="25"/>
      <c r="G48" s="25"/>
      <c r="H48" s="35"/>
    </row>
    <row r="49" spans="1:10" ht="15" customHeight="1" x14ac:dyDescent="0.25">
      <c r="A49" s="163" t="s">
        <v>194</v>
      </c>
      <c r="B49" s="163"/>
      <c r="C49" s="163"/>
      <c r="D49" s="163"/>
      <c r="E49" s="163"/>
      <c r="F49" s="163"/>
      <c r="G49" s="163"/>
      <c r="H49" s="163"/>
    </row>
    <row r="50" spans="1:10" x14ac:dyDescent="0.25">
      <c r="A50" s="68" t="s">
        <v>190</v>
      </c>
      <c r="B50" s="69">
        <f>B37+B39</f>
        <v>2810183.889493152</v>
      </c>
    </row>
    <row r="51" spans="1:10" x14ac:dyDescent="0.25">
      <c r="A51" s="70" t="s">
        <v>312</v>
      </c>
      <c r="B51" s="71">
        <f>B37/B50</f>
        <v>0.78777990629222217</v>
      </c>
    </row>
    <row r="52" spans="1:10" x14ac:dyDescent="0.25">
      <c r="A52" s="23" t="s">
        <v>125</v>
      </c>
      <c r="B52" s="28">
        <f>Assumptions!B22*1000</f>
        <v>188200</v>
      </c>
    </row>
    <row r="53" spans="1:10" x14ac:dyDescent="0.25">
      <c r="A53" s="42" t="s">
        <v>191</v>
      </c>
      <c r="B53" s="28">
        <f>B50+B52</f>
        <v>2998383.889493152</v>
      </c>
    </row>
    <row r="54" spans="1:10" x14ac:dyDescent="0.25">
      <c r="A54" s="23" t="s">
        <v>50</v>
      </c>
      <c r="B54" s="29">
        <f>Assumptions!B23</f>
        <v>411.274</v>
      </c>
    </row>
    <row r="55" spans="1:10" x14ac:dyDescent="0.25">
      <c r="A55" s="42" t="s">
        <v>192</v>
      </c>
      <c r="B55" s="72">
        <f>B53/B54/1000*100</f>
        <v>729.04776122321186</v>
      </c>
    </row>
    <row r="56" spans="1:10" x14ac:dyDescent="0.25">
      <c r="A56" s="42" t="s">
        <v>297</v>
      </c>
      <c r="B56" s="159">
        <f>B55/B47-1</f>
        <v>0.20106715193280378</v>
      </c>
    </row>
    <row r="57" spans="1:10" ht="19.5" x14ac:dyDescent="0.3">
      <c r="A57" s="62" t="s">
        <v>179</v>
      </c>
      <c r="B57" s="62"/>
    </row>
    <row r="58" spans="1:10" x14ac:dyDescent="0.25">
      <c r="A58" s="66" t="s">
        <v>182</v>
      </c>
      <c r="B58" s="1"/>
      <c r="C58" s="1"/>
      <c r="D58" s="1"/>
      <c r="E58" s="1"/>
      <c r="F58" s="1"/>
      <c r="G58" s="1"/>
    </row>
    <row r="59" spans="1:10" x14ac:dyDescent="0.25">
      <c r="A59" s="11" t="s">
        <v>177</v>
      </c>
      <c r="B59" s="11"/>
      <c r="C59" s="14" t="s">
        <v>178</v>
      </c>
    </row>
    <row r="60" spans="1:10" x14ac:dyDescent="0.25">
      <c r="A60" s="59">
        <f>B46</f>
        <v>696.2681551278921</v>
      </c>
      <c r="B60" s="15">
        <v>7.0000000000000007E-2</v>
      </c>
      <c r="C60" s="15">
        <v>7.4999999999999997E-2</v>
      </c>
      <c r="D60" s="15">
        <v>0.08</v>
      </c>
      <c r="E60" s="15">
        <v>8.5000000000000006E-2</v>
      </c>
      <c r="F60" s="15">
        <v>0.09</v>
      </c>
      <c r="G60" s="15">
        <v>9.5000000000000001E-2</v>
      </c>
      <c r="H60" s="15">
        <v>0.1</v>
      </c>
      <c r="I60" s="15">
        <v>0.105</v>
      </c>
      <c r="J60" s="15">
        <v>0.11</v>
      </c>
    </row>
    <row r="61" spans="1:10" x14ac:dyDescent="0.25">
      <c r="A61" s="15">
        <v>1.4999999999999999E-2</v>
      </c>
      <c r="B61" s="74">
        <f t="dataTable" ref="B61:J65" dt2D="1" dtr="1" r1="B26" r2="B32"/>
        <v>789.09684573220807</v>
      </c>
      <c r="C61" s="74">
        <v>726.62739426591918</v>
      </c>
      <c r="D61" s="75">
        <v>673.79129105075128</v>
      </c>
      <c r="E61" s="74">
        <v>628.52374858623682</v>
      </c>
      <c r="F61" s="74">
        <v>589.3106022560961</v>
      </c>
      <c r="G61" s="74">
        <v>555.01624028742174</v>
      </c>
      <c r="H61" s="74">
        <v>524.77226432599412</v>
      </c>
      <c r="I61" s="74">
        <v>497.90326316538562</v>
      </c>
      <c r="J61" s="74">
        <v>473.876026362179</v>
      </c>
    </row>
    <row r="62" spans="1:10" x14ac:dyDescent="0.25">
      <c r="A62" s="15">
        <v>0.02</v>
      </c>
      <c r="B62" s="74">
        <v>851.58186739498342</v>
      </c>
      <c r="C62" s="74">
        <v>777.85549745956189</v>
      </c>
      <c r="D62" s="75">
        <v>716.43982327252183</v>
      </c>
      <c r="E62" s="75">
        <v>664.49341085895503</v>
      </c>
      <c r="F62" s="74">
        <v>619.98667749252365</v>
      </c>
      <c r="G62" s="74">
        <v>581.43127422221755</v>
      </c>
      <c r="H62" s="74">
        <v>547.71094996504848</v>
      </c>
      <c r="I62" s="74">
        <v>517.97211063701241</v>
      </c>
      <c r="J62" s="74">
        <v>491.55085858473421</v>
      </c>
    </row>
    <row r="63" spans="1:10" x14ac:dyDescent="0.25">
      <c r="A63" s="15">
        <v>2.5000000000000001E-2</v>
      </c>
      <c r="B63" s="74">
        <v>927.95244942726424</v>
      </c>
      <c r="C63" s="74">
        <v>839.32922129193287</v>
      </c>
      <c r="D63" s="74">
        <v>766.84263408006871</v>
      </c>
      <c r="E63" s="75">
        <v>706.45801684379296</v>
      </c>
      <c r="F63" s="76">
        <v>655.38214891917005</v>
      </c>
      <c r="G63" s="76">
        <v>611.61988443341249</v>
      </c>
      <c r="H63" s="74">
        <v>573.70812702264345</v>
      </c>
      <c r="I63" s="74">
        <v>540.54956404259224</v>
      </c>
      <c r="J63" s="74">
        <v>511.3050828334724</v>
      </c>
    </row>
    <row r="64" spans="1:10" x14ac:dyDescent="0.25">
      <c r="A64" s="15">
        <v>0.03</v>
      </c>
      <c r="B64" s="74">
        <v>1023.4156769676155</v>
      </c>
      <c r="C64" s="74">
        <v>914.46377264260889</v>
      </c>
      <c r="D64" s="74">
        <v>827.32600704912511</v>
      </c>
      <c r="E64" s="74">
        <v>756.05255118951061</v>
      </c>
      <c r="F64" s="75">
        <v>696.67686558359151</v>
      </c>
      <c r="G64" s="74">
        <v>646.45289621556083</v>
      </c>
      <c r="H64" s="74">
        <v>603.41918651703793</v>
      </c>
      <c r="I64" s="74">
        <v>566.13734456891609</v>
      </c>
      <c r="J64" s="74">
        <v>533.52858511330271</v>
      </c>
    </row>
    <row r="65" spans="1:12" x14ac:dyDescent="0.25">
      <c r="A65" s="15">
        <v>3.5000000000000003E-2</v>
      </c>
      <c r="B65" s="74">
        <v>1146.1541123766385</v>
      </c>
      <c r="C65" s="74">
        <v>1008.3819618309535</v>
      </c>
      <c r="D65" s="74">
        <v>901.25012956686066</v>
      </c>
      <c r="E65" s="74">
        <v>815.56599240437163</v>
      </c>
      <c r="F65" s="74">
        <v>745.47971255063476</v>
      </c>
      <c r="G65" s="75">
        <v>687.09140996140025</v>
      </c>
      <c r="H65" s="74">
        <v>637.70117824133899</v>
      </c>
      <c r="I65" s="74">
        <v>595.38052231328652</v>
      </c>
      <c r="J65" s="74">
        <v>558.71522103044379</v>
      </c>
    </row>
    <row r="68" spans="1:12" x14ac:dyDescent="0.25">
      <c r="A68" s="66" t="s">
        <v>181</v>
      </c>
      <c r="B68" s="1"/>
      <c r="C68" s="1"/>
      <c r="D68" s="1"/>
      <c r="E68" s="1"/>
      <c r="F68" s="1"/>
      <c r="G68" s="1"/>
      <c r="H68" s="1"/>
      <c r="I68" s="1"/>
      <c r="J68" s="1"/>
      <c r="K68" s="1"/>
      <c r="L68" s="1"/>
    </row>
    <row r="69" spans="1:12" x14ac:dyDescent="0.25">
      <c r="A69" s="18" t="s">
        <v>177</v>
      </c>
      <c r="B69" s="18"/>
      <c r="C69" s="18"/>
      <c r="D69" s="65" t="s">
        <v>180</v>
      </c>
      <c r="E69" s="14"/>
    </row>
    <row r="70" spans="1:12" x14ac:dyDescent="0.25">
      <c r="A70" s="59">
        <f>B55</f>
        <v>729.04776122321186</v>
      </c>
      <c r="B70" s="15">
        <v>7.0000000000000007E-2</v>
      </c>
      <c r="C70" s="15">
        <v>7.4999999999999997E-2</v>
      </c>
      <c r="D70" s="15">
        <v>0.08</v>
      </c>
      <c r="E70" s="15">
        <v>8.5000000000000006E-2</v>
      </c>
      <c r="F70" s="15">
        <v>0.09</v>
      </c>
      <c r="G70" s="15">
        <v>9.5000000000000001E-2</v>
      </c>
      <c r="H70" s="15">
        <v>0.1</v>
      </c>
      <c r="I70" s="15">
        <v>0.105</v>
      </c>
      <c r="J70" s="15">
        <v>0.11</v>
      </c>
      <c r="K70" s="63"/>
    </row>
    <row r="71" spans="1:12" x14ac:dyDescent="0.25">
      <c r="A71" s="17">
        <v>10</v>
      </c>
      <c r="B71" s="60">
        <f t="dataTable" ref="B71:J78" dt2D="1" dtr="1" r1="B26" r2="B35" ca="1"/>
        <v>638.90788913533254</v>
      </c>
      <c r="C71" s="60">
        <v>627.92530013793885</v>
      </c>
      <c r="D71" s="60">
        <v>617.21061733856084</v>
      </c>
      <c r="E71" s="60">
        <v>606.75601963828956</v>
      </c>
      <c r="F71" s="60">
        <v>596.55395000407464</v>
      </c>
      <c r="G71" s="60">
        <v>586.59710537482636</v>
      </c>
      <c r="H71" s="60">
        <v>576.87842699766259</v>
      </c>
      <c r="I71" s="60">
        <v>567.39109117412397</v>
      </c>
      <c r="J71" s="60">
        <v>558.12850039717728</v>
      </c>
      <c r="K71" s="16"/>
    </row>
    <row r="72" spans="1:12" x14ac:dyDescent="0.25">
      <c r="A72" s="73">
        <v>11</v>
      </c>
      <c r="B72" s="60">
        <v>683.16216823052071</v>
      </c>
      <c r="C72" s="60">
        <v>671.26083697230536</v>
      </c>
      <c r="D72" s="60">
        <v>659.65061686189415</v>
      </c>
      <c r="E72" s="60">
        <v>648.32299731386502</v>
      </c>
      <c r="F72" s="60">
        <v>637.26975533938901</v>
      </c>
      <c r="G72" s="60">
        <v>626.48294454633083</v>
      </c>
      <c r="H72" s="60">
        <v>615.95488460830632</v>
      </c>
      <c r="I72" s="60">
        <v>605.67815118069154</v>
      </c>
      <c r="J72" s="60">
        <v>595.64556624266652</v>
      </c>
      <c r="K72" s="16"/>
    </row>
    <row r="73" spans="1:12" x14ac:dyDescent="0.25">
      <c r="A73" s="17">
        <v>12</v>
      </c>
      <c r="B73" s="186">
        <v>727.41644732570887</v>
      </c>
      <c r="C73" s="60">
        <v>714.59637380667175</v>
      </c>
      <c r="D73" s="60">
        <v>702.09061638522724</v>
      </c>
      <c r="E73" s="60">
        <v>689.88997498944047</v>
      </c>
      <c r="F73" s="60">
        <v>677.98556067470338</v>
      </c>
      <c r="G73" s="60">
        <v>666.36878371783496</v>
      </c>
      <c r="H73" s="60">
        <v>655.03134221894982</v>
      </c>
      <c r="I73" s="60">
        <v>643.96521118725923</v>
      </c>
      <c r="J73" s="60">
        <v>633.16263208815565</v>
      </c>
      <c r="K73" s="16"/>
    </row>
    <row r="74" spans="1:12" x14ac:dyDescent="0.25">
      <c r="A74" s="17">
        <v>13</v>
      </c>
      <c r="B74" s="60">
        <v>771.67072642089704</v>
      </c>
      <c r="C74" s="60">
        <v>757.93191064103837</v>
      </c>
      <c r="D74" s="60">
        <v>744.53061590856055</v>
      </c>
      <c r="E74" s="186">
        <v>731.45695266501605</v>
      </c>
      <c r="F74" s="187">
        <v>718.70136601001786</v>
      </c>
      <c r="G74" s="61">
        <v>706.25462288933932</v>
      </c>
      <c r="H74" s="60">
        <v>694.10779982959343</v>
      </c>
      <c r="I74" s="60">
        <v>682.2522711938268</v>
      </c>
      <c r="J74" s="60">
        <v>670.679697933645</v>
      </c>
      <c r="K74" s="16"/>
    </row>
    <row r="75" spans="1:12" x14ac:dyDescent="0.25">
      <c r="A75" s="17">
        <v>14</v>
      </c>
      <c r="B75" s="60">
        <v>815.92500551608521</v>
      </c>
      <c r="C75" s="60">
        <v>801.26744747540499</v>
      </c>
      <c r="D75" s="60">
        <v>786.97061543189386</v>
      </c>
      <c r="E75" s="60">
        <v>773.02393034059151</v>
      </c>
      <c r="F75" s="60">
        <v>759.41717134533224</v>
      </c>
      <c r="G75" s="60">
        <v>746.14046206084356</v>
      </c>
      <c r="H75" s="186">
        <v>733.18425744023693</v>
      </c>
      <c r="I75" s="186">
        <v>720.53933120039449</v>
      </c>
      <c r="J75" s="60">
        <v>708.19676377913424</v>
      </c>
      <c r="K75" s="16"/>
    </row>
    <row r="76" spans="1:12" x14ac:dyDescent="0.25">
      <c r="A76" s="17">
        <v>15</v>
      </c>
      <c r="B76" s="60">
        <v>860.17928461127315</v>
      </c>
      <c r="C76" s="60">
        <v>844.6029843097715</v>
      </c>
      <c r="D76" s="60">
        <v>829.41061495522706</v>
      </c>
      <c r="E76" s="60">
        <v>814.59090801616685</v>
      </c>
      <c r="F76" s="60">
        <v>800.13297668064661</v>
      </c>
      <c r="G76" s="60">
        <v>786.02630123234803</v>
      </c>
      <c r="H76" s="60">
        <v>772.26071505088032</v>
      </c>
      <c r="I76" s="60">
        <v>758.82639120696217</v>
      </c>
      <c r="J76" s="60">
        <v>745.71382962462337</v>
      </c>
      <c r="K76" s="16"/>
    </row>
    <row r="77" spans="1:12" x14ac:dyDescent="0.25">
      <c r="A77" s="73">
        <v>16</v>
      </c>
      <c r="B77" s="60">
        <v>904.43356370646143</v>
      </c>
      <c r="C77" s="60">
        <v>887.93852114413812</v>
      </c>
      <c r="D77" s="60">
        <v>871.85061447856015</v>
      </c>
      <c r="E77" s="60">
        <v>856.15788569174254</v>
      </c>
      <c r="F77" s="60">
        <v>840.84878201596086</v>
      </c>
      <c r="G77" s="60">
        <v>825.91214040385239</v>
      </c>
      <c r="H77" s="60">
        <v>811.33717266152382</v>
      </c>
      <c r="I77" s="60">
        <v>797.11345121352997</v>
      </c>
      <c r="J77" s="60">
        <v>783.2308954701125</v>
      </c>
      <c r="K77" s="16"/>
    </row>
    <row r="78" spans="1:12" x14ac:dyDescent="0.25">
      <c r="A78" s="73">
        <v>17</v>
      </c>
      <c r="B78" s="60">
        <v>948.68784280164937</v>
      </c>
      <c r="C78" s="60">
        <v>931.27405797850463</v>
      </c>
      <c r="D78" s="60">
        <v>914.29061400189346</v>
      </c>
      <c r="E78" s="60">
        <v>897.72486336731788</v>
      </c>
      <c r="F78" s="60">
        <v>881.56458735127535</v>
      </c>
      <c r="G78" s="60">
        <v>865.79797957535652</v>
      </c>
      <c r="H78" s="60">
        <v>850.41363027216744</v>
      </c>
      <c r="I78" s="60">
        <v>835.40051122009743</v>
      </c>
      <c r="J78" s="60">
        <v>820.74796131560174</v>
      </c>
      <c r="K78" s="16"/>
    </row>
    <row r="82" spans="1:10" x14ac:dyDescent="0.25">
      <c r="A82" s="59"/>
      <c r="B82" s="63"/>
      <c r="C82" s="63"/>
      <c r="D82" s="63"/>
      <c r="E82" s="63"/>
      <c r="F82" s="63"/>
      <c r="G82" s="63"/>
      <c r="H82" s="63"/>
      <c r="I82" s="63"/>
      <c r="J82" s="63"/>
    </row>
    <row r="83" spans="1:10" x14ac:dyDescent="0.25">
      <c r="A83" s="77"/>
      <c r="B83" s="16"/>
      <c r="C83" s="16"/>
      <c r="D83" s="16"/>
      <c r="E83" s="16"/>
      <c r="F83" s="16"/>
      <c r="G83" s="16"/>
      <c r="H83" s="16"/>
      <c r="I83" s="16"/>
      <c r="J83" s="16"/>
    </row>
    <row r="84" spans="1:10" x14ac:dyDescent="0.25">
      <c r="A84" s="77"/>
      <c r="B84" s="16"/>
      <c r="C84" s="16"/>
      <c r="D84" s="16"/>
      <c r="E84" s="16"/>
      <c r="F84" s="16"/>
      <c r="G84" s="16"/>
      <c r="H84" s="16"/>
      <c r="I84" s="16"/>
      <c r="J84" s="16"/>
    </row>
    <row r="85" spans="1:10" x14ac:dyDescent="0.25">
      <c r="A85" s="77"/>
      <c r="B85" s="16"/>
      <c r="C85" s="16"/>
      <c r="D85" s="16"/>
      <c r="E85" s="16"/>
      <c r="F85" s="16"/>
      <c r="G85" s="16"/>
      <c r="H85" s="16"/>
      <c r="I85" s="16"/>
      <c r="J85" s="16"/>
    </row>
    <row r="86" spans="1:10" x14ac:dyDescent="0.25">
      <c r="A86" s="77"/>
      <c r="B86" s="16"/>
      <c r="C86" s="16"/>
      <c r="D86" s="16"/>
      <c r="E86" s="16"/>
      <c r="F86" s="64"/>
      <c r="G86" s="64"/>
      <c r="H86" s="16"/>
      <c r="I86" s="16"/>
      <c r="J86" s="16"/>
    </row>
    <row r="87" spans="1:10" x14ac:dyDescent="0.25">
      <c r="A87" s="77"/>
      <c r="B87" s="16"/>
      <c r="C87" s="16"/>
      <c r="D87" s="16"/>
      <c r="E87" s="16"/>
      <c r="F87" s="16"/>
      <c r="G87" s="16"/>
      <c r="H87" s="16"/>
      <c r="I87" s="16"/>
      <c r="J87" s="16"/>
    </row>
    <row r="88" spans="1:10" x14ac:dyDescent="0.25">
      <c r="A88" s="77"/>
      <c r="B88" s="16"/>
      <c r="C88" s="16"/>
      <c r="D88" s="16"/>
      <c r="E88" s="16"/>
      <c r="F88" s="16"/>
      <c r="G88" s="16"/>
      <c r="H88" s="16"/>
      <c r="I88" s="16"/>
      <c r="J88" s="16"/>
    </row>
    <row r="89" spans="1:10" x14ac:dyDescent="0.25">
      <c r="A89" s="78"/>
      <c r="B89" s="16"/>
      <c r="C89" s="16"/>
      <c r="D89" s="16"/>
      <c r="E89" s="16"/>
      <c r="F89" s="16"/>
      <c r="G89" s="16"/>
      <c r="H89" s="16"/>
      <c r="I89" s="16"/>
      <c r="J89" s="16"/>
    </row>
    <row r="90" spans="1:10" x14ac:dyDescent="0.25">
      <c r="A90" s="78"/>
      <c r="B90" s="16"/>
      <c r="C90" s="16"/>
      <c r="D90" s="16"/>
      <c r="E90" s="16"/>
      <c r="F90" s="16"/>
      <c r="G90" s="16"/>
      <c r="H90" s="16"/>
      <c r="I90" s="16"/>
      <c r="J90" s="16"/>
    </row>
  </sheetData>
  <mergeCells count="8">
    <mergeCell ref="A49:H49"/>
    <mergeCell ref="A31:H31"/>
    <mergeCell ref="A38:H38"/>
    <mergeCell ref="A1:H1"/>
    <mergeCell ref="A3:H3"/>
    <mergeCell ref="A12:H12"/>
    <mergeCell ref="A19:H19"/>
    <mergeCell ref="A25:H25"/>
  </mergeCells>
  <conditionalFormatting sqref="B61:G65">
    <cfRule type="colorScale" priority="3">
      <colorScale>
        <cfvo type="min"/>
        <cfvo type="percentile" val="50"/>
        <cfvo type="max"/>
        <color rgb="FFF8696B"/>
        <color rgb="FFFFEB84"/>
        <color rgb="FF63BE7B"/>
      </colorScale>
    </cfRule>
  </conditionalFormatting>
  <conditionalFormatting sqref="B61:J65">
    <cfRule type="colorScale" priority="2">
      <colorScale>
        <cfvo type="min"/>
        <cfvo type="percentile" val="50"/>
        <cfvo type="max"/>
        <color rgb="FFF8696B"/>
        <color rgb="FFFFEB84"/>
        <color rgb="FF63BE7B"/>
      </colorScale>
    </cfRule>
  </conditionalFormatting>
  <conditionalFormatting sqref="B71:J78">
    <cfRule type="colorScale" priority="1">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showGridLines="0" zoomScaleNormal="100" workbookViewId="0">
      <selection activeCell="A19" sqref="A19"/>
    </sheetView>
  </sheetViews>
  <sheetFormatPr defaultColWidth="8.7109375" defaultRowHeight="15" x14ac:dyDescent="0.25"/>
  <cols>
    <col min="1" max="1" width="40" customWidth="1"/>
    <col min="2" max="3" width="18" customWidth="1"/>
    <col min="4" max="4" width="38" customWidth="1"/>
  </cols>
  <sheetData>
    <row r="1" spans="1:4" ht="27.75" customHeight="1" x14ac:dyDescent="0.25">
      <c r="A1" s="164" t="s">
        <v>128</v>
      </c>
      <c r="B1" s="164"/>
      <c r="C1" s="164"/>
      <c r="D1" s="164"/>
    </row>
    <row r="3" spans="1:4" ht="15" customHeight="1" x14ac:dyDescent="0.25">
      <c r="A3" s="167" t="s">
        <v>129</v>
      </c>
      <c r="B3" s="167"/>
      <c r="C3" s="167"/>
      <c r="D3" s="167"/>
    </row>
    <row r="4" spans="1:4" ht="15" customHeight="1" x14ac:dyDescent="0.25">
      <c r="A4" s="3" t="s">
        <v>130</v>
      </c>
      <c r="B4" s="8">
        <v>4.3999999999999997E-2</v>
      </c>
      <c r="D4" s="19" t="s">
        <v>308</v>
      </c>
    </row>
    <row r="5" spans="1:4" ht="15" customHeight="1" x14ac:dyDescent="0.25">
      <c r="A5" s="3" t="s">
        <v>131</v>
      </c>
      <c r="B5" s="8">
        <v>0.05</v>
      </c>
      <c r="D5" s="19" t="s">
        <v>172</v>
      </c>
    </row>
    <row r="6" spans="1:4" ht="15" customHeight="1" x14ac:dyDescent="0.25">
      <c r="A6" s="3" t="s">
        <v>132</v>
      </c>
      <c r="B6" s="10">
        <v>0.86</v>
      </c>
      <c r="D6" s="19" t="s">
        <v>173</v>
      </c>
    </row>
    <row r="7" spans="1:4" ht="15" customHeight="1" x14ac:dyDescent="0.25">
      <c r="A7" s="11" t="s">
        <v>133</v>
      </c>
      <c r="B7" s="12">
        <f>B4+B6*B5</f>
        <v>8.6999999999999994E-2</v>
      </c>
      <c r="D7" s="19" t="s">
        <v>174</v>
      </c>
    </row>
    <row r="9" spans="1:4" ht="15" customHeight="1" x14ac:dyDescent="0.25">
      <c r="A9" s="167" t="s">
        <v>134</v>
      </c>
      <c r="B9" s="167"/>
      <c r="C9" s="167"/>
      <c r="D9" s="167"/>
    </row>
    <row r="10" spans="1:4" ht="15" customHeight="1" x14ac:dyDescent="0.25">
      <c r="A10" s="3" t="s">
        <v>135</v>
      </c>
      <c r="B10" s="8">
        <v>4.4999999999999998E-2</v>
      </c>
      <c r="D10" s="19" t="s">
        <v>175</v>
      </c>
    </row>
    <row r="11" spans="1:4" ht="15" customHeight="1" x14ac:dyDescent="0.25">
      <c r="A11" s="3" t="s">
        <v>136</v>
      </c>
      <c r="B11" s="8">
        <v>0.25</v>
      </c>
      <c r="D11" s="19" t="s">
        <v>137</v>
      </c>
    </row>
    <row r="12" spans="1:4" ht="15" customHeight="1" x14ac:dyDescent="0.25">
      <c r="A12" s="11" t="s">
        <v>138</v>
      </c>
      <c r="B12" s="52">
        <f>B10*(1-B11)</f>
        <v>3.3750000000000002E-2</v>
      </c>
    </row>
    <row r="14" spans="1:4" ht="15" customHeight="1" x14ac:dyDescent="0.25">
      <c r="A14" s="167" t="s">
        <v>139</v>
      </c>
      <c r="B14" s="167"/>
      <c r="C14" s="167"/>
      <c r="D14" s="167"/>
    </row>
    <row r="15" spans="1:4" ht="15" customHeight="1" x14ac:dyDescent="0.25">
      <c r="A15" s="3" t="s">
        <v>140</v>
      </c>
      <c r="B15" s="27">
        <v>0.98</v>
      </c>
      <c r="D15" s="19" t="s">
        <v>176</v>
      </c>
    </row>
    <row r="16" spans="1:4" ht="15" customHeight="1" x14ac:dyDescent="0.25">
      <c r="A16" s="3" t="s">
        <v>141</v>
      </c>
      <c r="B16" s="9">
        <f>1-B15</f>
        <v>2.0000000000000018E-2</v>
      </c>
    </row>
    <row r="18" spans="1:4" ht="15" customHeight="1" x14ac:dyDescent="0.25">
      <c r="A18" s="167" t="s">
        <v>23</v>
      </c>
      <c r="B18" s="167"/>
      <c r="C18" s="167"/>
      <c r="D18" s="167"/>
    </row>
    <row r="19" spans="1:4" ht="15" customHeight="1" x14ac:dyDescent="0.25">
      <c r="A19" s="51" t="s">
        <v>142</v>
      </c>
      <c r="B19" s="13">
        <f>B7*B15+B12*B16</f>
        <v>8.5934999999999984E-2</v>
      </c>
      <c r="D19" s="19" t="s">
        <v>143</v>
      </c>
    </row>
    <row r="21" spans="1:4" ht="15" customHeight="1" x14ac:dyDescent="0.25">
      <c r="A21" s="168"/>
      <c r="B21" s="168"/>
      <c r="C21" s="168"/>
      <c r="D21" s="168"/>
    </row>
    <row r="22" spans="1:4" ht="15" customHeight="1" x14ac:dyDescent="0.25">
      <c r="A22" s="177"/>
      <c r="B22" s="177"/>
      <c r="C22" s="177"/>
      <c r="D22" s="177"/>
    </row>
  </sheetData>
  <mergeCells count="7">
    <mergeCell ref="A21:D21"/>
    <mergeCell ref="A22:D22"/>
    <mergeCell ref="A1:D1"/>
    <mergeCell ref="A3:D3"/>
    <mergeCell ref="A9:D9"/>
    <mergeCell ref="A14:D14"/>
    <mergeCell ref="A18:D1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19"/>
  <sheetViews>
    <sheetView showGridLines="0" zoomScaleNormal="100" workbookViewId="0">
      <selection activeCell="B7" sqref="B7:C7"/>
    </sheetView>
  </sheetViews>
  <sheetFormatPr defaultColWidth="8.7109375" defaultRowHeight="15" x14ac:dyDescent="0.25"/>
  <cols>
    <col min="1" max="1" width="3" customWidth="1"/>
    <col min="2" max="2" width="55" customWidth="1"/>
    <col min="3" max="3" width="45" customWidth="1"/>
  </cols>
  <sheetData>
    <row r="1" spans="2:3" ht="31.5" customHeight="1" x14ac:dyDescent="0.25">
      <c r="B1" s="164" t="s">
        <v>144</v>
      </c>
      <c r="C1" s="164"/>
    </row>
    <row r="3" spans="2:3" ht="19.5" customHeight="1" x14ac:dyDescent="0.25">
      <c r="B3" s="178" t="s">
        <v>195</v>
      </c>
      <c r="C3" s="167"/>
    </row>
    <row r="4" spans="2:3" ht="36.75" customHeight="1" x14ac:dyDescent="0.25">
      <c r="B4" s="179" t="s">
        <v>306</v>
      </c>
      <c r="C4" s="180"/>
    </row>
    <row r="6" spans="2:3" ht="19.5" customHeight="1" x14ac:dyDescent="0.25">
      <c r="B6" s="167" t="s">
        <v>196</v>
      </c>
      <c r="C6" s="167"/>
    </row>
    <row r="7" spans="2:3" ht="86.25" customHeight="1" x14ac:dyDescent="0.25">
      <c r="B7" s="181" t="s">
        <v>307</v>
      </c>
      <c r="C7" s="182"/>
    </row>
    <row r="9" spans="2:3" ht="19.5" customHeight="1" x14ac:dyDescent="0.25">
      <c r="B9" s="167" t="s">
        <v>145</v>
      </c>
      <c r="C9" s="167"/>
    </row>
    <row r="10" spans="2:3" ht="117" customHeight="1" x14ac:dyDescent="0.25">
      <c r="B10" s="184" t="s">
        <v>304</v>
      </c>
      <c r="C10" s="185"/>
    </row>
    <row r="12" spans="2:3" ht="19.5" customHeight="1" x14ac:dyDescent="0.25">
      <c r="B12" s="167" t="s">
        <v>146</v>
      </c>
      <c r="C12" s="167"/>
    </row>
    <row r="13" spans="2:3" ht="75" customHeight="1" x14ac:dyDescent="0.25">
      <c r="B13" s="179" t="s">
        <v>300</v>
      </c>
      <c r="C13" s="180"/>
    </row>
    <row r="15" spans="2:3" ht="19.5" customHeight="1" x14ac:dyDescent="0.25">
      <c r="B15" s="167" t="s">
        <v>147</v>
      </c>
      <c r="C15" s="167"/>
    </row>
    <row r="16" spans="2:3" ht="108" customHeight="1" x14ac:dyDescent="0.25">
      <c r="B16" s="181" t="s">
        <v>305</v>
      </c>
      <c r="C16" s="182"/>
    </row>
    <row r="19" spans="2:3" ht="39.75" customHeight="1" x14ac:dyDescent="0.25">
      <c r="B19" s="183"/>
      <c r="C19" s="183"/>
    </row>
  </sheetData>
  <mergeCells count="12">
    <mergeCell ref="B16:C16"/>
    <mergeCell ref="B19:C19"/>
    <mergeCell ref="B9:C9"/>
    <mergeCell ref="B10:C10"/>
    <mergeCell ref="B12:C12"/>
    <mergeCell ref="B13:C13"/>
    <mergeCell ref="B15:C15"/>
    <mergeCell ref="B1:C1"/>
    <mergeCell ref="B3:C3"/>
    <mergeCell ref="B4:C4"/>
    <mergeCell ref="B6:C6"/>
    <mergeCell ref="B7:C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Assumptions</vt:lpstr>
      <vt:lpstr>Historicals</vt:lpstr>
      <vt:lpstr>Comps Table</vt:lpstr>
      <vt:lpstr>DCF Model</vt:lpstr>
      <vt:lpstr>WACC</vt:lpstr>
      <vt:lpstr>Investment Memo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Patrick James (UG)</cp:lastModifiedBy>
  <cp:revision>0</cp:revision>
  <dcterms:created xsi:type="dcterms:W3CDTF">2026-06-30T21:26:17Z</dcterms:created>
  <dcterms:modified xsi:type="dcterms:W3CDTF">2026-07-10T18:24:16Z</dcterms:modified>
  <dc:language>en-US</dc:language>
</cp:coreProperties>
</file>